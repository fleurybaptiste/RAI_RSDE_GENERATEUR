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ara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rial"/>
      <family val="2"/>
      <color rgb="FF000000"/>
      <sz val="8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Aptos"/>
      <family val="2"/>
      <color rgb="FF000000"/>
      <sz val="11"/>
    </font>
    <font>
      <name val="Aptos Narrow"/>
      <family val="2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FCE4D6"/>
        <bgColor rgb="00FCE4D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80000"/>
      </bottom>
      <diagonal/>
    </border>
    <border>
      <left/>
      <right/>
      <top style="medium">
        <color rgb="FF080000"/>
      </top>
      <bottom style="thin">
        <color rgb="FF080000"/>
      </bottom>
      <diagonal/>
    </border>
    <border>
      <left/>
      <right/>
      <top style="thin">
        <color rgb="FF080000"/>
      </top>
      <bottom style="thin">
        <color rgb="FF08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1" fontId="0" fillId="0" borderId="0" pivotButton="0" quotePrefix="0" xfId="0"/>
    <xf numFmtId="49" fontId="1" fillId="2" borderId="1" applyAlignment="1" pivotButton="0" quotePrefix="0" xfId="0">
      <alignment vertical="center"/>
    </xf>
    <xf numFmtId="49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3" applyAlignment="1" pivotButton="0" quotePrefix="0" xfId="0">
      <alignment vertical="center"/>
    </xf>
    <xf numFmtId="0" fontId="2" fillId="3" borderId="0" pivotButton="0" quotePrefix="0" xfId="0"/>
    <xf numFmtId="0" fontId="3" fillId="4" borderId="4" applyAlignment="1" pivotButton="0" quotePrefix="0" xfId="0">
      <alignment horizontal="center"/>
    </xf>
    <xf numFmtId="0" fontId="2" fillId="4" borderId="5" pivotButton="0" quotePrefix="0" xfId="0"/>
    <xf numFmtId="0" fontId="0" fillId="5" borderId="0" pivotButton="0" quotePrefix="0" xfId="0"/>
    <xf numFmtId="0" fontId="2" fillId="4" borderId="6" pivotButton="0" quotePrefix="0" xfId="0"/>
    <xf numFmtId="0" fontId="0" fillId="0" borderId="7" pivotButton="0" quotePrefix="0" xfId="0"/>
    <xf numFmtId="1" fontId="0" fillId="0" borderId="8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4" fillId="0" borderId="7" pivotButton="0" quotePrefix="0" xfId="0"/>
    <xf numFmtId="0" fontId="0" fillId="0" borderId="8" pivotButton="0" quotePrefix="0" xfId="0"/>
    <xf numFmtId="1" fontId="0" fillId="0" borderId="9" pivotButton="0" quotePrefix="0" xfId="0"/>
    <xf numFmtId="0" fontId="0" fillId="0" borderId="10" pivotButton="0" quotePrefix="0" xfId="0"/>
    <xf numFmtId="1" fontId="0" fillId="0" borderId="10" pivotButton="0" quotePrefix="0" xfId="0"/>
    <xf numFmtId="0" fontId="0" fillId="7" borderId="0" pivotButton="0" quotePrefix="0" xfId="0"/>
  </cellXfs>
  <cellStyles count="1">
    <cellStyle name="Normal" xfId="0" builtinId="0"/>
  </cellStyles>
  <dxfs count="22">
    <dxf>
      <numFmt numFmtId="0" formatCode="General"/>
    </dxf>
    <dxf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000000"/>
          <bgColor rgb="FFFF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rgb="FFC0C0C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C0C0C0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000000"/>
          <bgColor rgb="FFFFFFFF"/>
        </patternFill>
      </fill>
    </dxf>
    <dxf>
      <font>
        <name val="Calibri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000000"/>
          <bgColor rgb="FFFFFFFF"/>
        </patternFill>
      </fill>
      <alignment horizontal="center" vertical="bottom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/>
      <border>
        <left/>
        <right/>
        <top style="thin">
          <color rgb="FF080000"/>
        </top>
        <bottom style="thin">
          <color rgb="FF080000"/>
        </bottom>
        <vertical/>
        <horizontal/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/>
      <border>
        <left/>
        <right/>
        <top style="thin">
          <color rgb="FF080000"/>
        </top>
        <bottom style="thin">
          <color rgb="FF080000"/>
        </bottom>
        <vertical/>
        <horizontal/>
      </border>
    </dxf>
    <dxf>
      <border outline="0">
        <bottom style="thin">
          <color rgb="FF080000"/>
        </bottom>
      </border>
    </dxf>
    <dxf>
      <border outline="0">
        <left style="thin">
          <color rgb="FF080000"/>
        </left>
        <right style="thin">
          <color rgb="FF080000"/>
        </right>
        <top style="medium">
          <color rgb="FF080000"/>
        </top>
        <bottom style="thin">
          <color rgb="FF080000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center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/>
    </dxf>
    <dxf>
      <numFmt numFmtId="0" formatCode="General"/>
    </dxf>
    <dxf>
      <numFmt numFmtId="1" formatCode="0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numFmt numFmtId="0" formatCode="General"/>
      <border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Param" displayName="Tbl_Param" ref="A1:E1362" headerRowCount="1" totalsRowShown="0">
  <autoFilter ref="A1:E1362"/>
  <sortState ref="A2:E1352">
    <sortCondition ref="A1:A1352"/>
  </sortState>
  <tableColumns count="5">
    <tableColumn id="1" name="Param" dataDxfId="17"/>
    <tableColumn id="2" name="Code CAS" dataDxfId="16"/>
    <tableColumn id="3" name="Code SANDRE" dataDxfId="15"/>
    <tableColumn id="4" name="Code SISE"/>
    <tableColumn id="5" name="Agrement" dataDxfId="14">
      <calculatedColumnFormula>IFERROR(IF(_xlfn.XLOOKUP(#REF!, Tableau5[Code sandre], Tableau5[Code sandre],, 0) &lt;&gt; "", 1, ""),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N2:O18" headerRowCount="1" totalsRowShown="0" headerRowDxfId="13" dataDxfId="12" headerRowBorderDxfId="10" tableBorderDxfId="11">
  <autoFilter ref="N2:O18"/>
  <tableColumns count="2">
    <tableColumn id="1" name="Colonne1" dataDxfId="9"/>
    <tableColumn id="2" name="Colonne2" dataDxfId="8">
      <calculatedColumnFormula>VLOOKUP(Tableau12[[#This Row],[Colonne1]],[1]!Tbl_Param[#Data],3,FALSE)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5" displayName="Tableau5" ref="N20:N203" headerRowCount="1" totalsRowShown="0" headerRowDxfId="7" dataDxfId="6" headerRowBorderDxfId="4" tableBorderDxfId="5" totalsRowBorderDxfId="3">
  <autoFilter ref="N20:N203"/>
  <tableColumns count="1">
    <tableColumn id="1" name="Code sandre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au14" displayName="Tableau14" ref="Q2:S14" headerRowCount="1" totalsRowShown="0">
  <autoFilter ref="Q2:S14"/>
  <tableColumns count="3">
    <tableColumn id="1" name="sandre_param" dataDxfId="1"/>
    <tableColumn id="2" name="libelle_param" dataDxfId="0">
      <calculatedColumnFormula array="1">_xlfn.XLOOKUP(Tableau14[[#This Row],[sandre_param]],#REF!,[1]!Tbl_Param[Param],"Non présent")</calculatedColumnFormula>
    </tableColumn>
    <tableColumn id="3" name="Correspondance Tetra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 codeName="Feuil4">
    <outlinePr summaryBelow="1" summaryRight="1"/>
    <pageSetUpPr/>
  </sheetPr>
  <dimension ref="A1:U1368"/>
  <sheetViews>
    <sheetView tabSelected="1" topLeftCell="A1082" zoomScaleNormal="100" workbookViewId="0">
      <selection activeCell="F1147" sqref="F1147"/>
    </sheetView>
  </sheetViews>
  <sheetFormatPr baseColWidth="10" defaultRowHeight="15"/>
  <cols>
    <col width="53.85546875" customWidth="1" min="1" max="1"/>
    <col width="46.85546875" customWidth="1" min="2" max="2"/>
    <col width="19.85546875" customWidth="1" style="1" min="3" max="3"/>
    <col width="21" customWidth="1" min="4" max="5"/>
    <col width="30.42578125" customWidth="1" min="6" max="6"/>
    <col width="33.85546875" customWidth="1" min="7" max="12"/>
    <col width="34.85546875" customWidth="1" min="13" max="15"/>
    <col width="25" customWidth="1" min="16" max="16"/>
    <col width="27" customWidth="1" min="17" max="27"/>
    <col width="31.28515625" customWidth="1" min="28" max="28"/>
    <col width="14.5703125" customWidth="1" min="29" max="29"/>
    <col width="36.7109375" customWidth="1" min="30" max="30"/>
    <col width="21.28515625" customWidth="1" min="31" max="31"/>
    <col width="23.28515625" customWidth="1" min="32" max="54"/>
    <col width="20.7109375" customWidth="1" min="55" max="55"/>
    <col width="22.7109375" customWidth="1" min="56" max="78"/>
    <col width="28.85546875" customWidth="1" min="79" max="79"/>
    <col width="30.85546875" customWidth="1" min="80" max="86"/>
    <col width="31.85546875" customWidth="1" min="87" max="87"/>
    <col width="33.85546875" customWidth="1" min="88" max="94"/>
    <col width="30.140625" customWidth="1" min="95" max="95"/>
    <col width="32.140625" customWidth="1" min="96" max="102"/>
    <col width="39.5703125" customWidth="1" min="103" max="103"/>
    <col width="41.5703125" customWidth="1" min="104" max="110"/>
    <col width="29.85546875" customWidth="1" min="111" max="111"/>
    <col width="31.85546875" customWidth="1" min="112" max="113"/>
    <col width="32.85546875" customWidth="1" min="114" max="118"/>
    <col width="31.85546875" customWidth="1" min="119" max="119"/>
    <col width="39.140625" customWidth="1" min="120" max="120"/>
    <col width="44.28515625" customWidth="1" min="121" max="121"/>
    <col width="27.42578125" customWidth="1" min="122" max="122"/>
    <col width="18.140625" customWidth="1" min="123" max="123"/>
    <col width="17.5703125" customWidth="1" min="124" max="124"/>
    <col width="31.85546875" customWidth="1" min="125" max="125"/>
    <col width="34.85546875" customWidth="1" min="126" max="126"/>
    <col width="33.140625" customWidth="1" min="127" max="127"/>
  </cols>
  <sheetData>
    <row r="1">
      <c r="A1" t="inlineStr">
        <is>
          <t>Param</t>
        </is>
      </c>
      <c r="B1" t="inlineStr">
        <is>
          <t>Code CAS</t>
        </is>
      </c>
      <c r="C1" s="1" t="inlineStr">
        <is>
          <t>Code SANDRE</t>
        </is>
      </c>
      <c r="D1" t="inlineStr">
        <is>
          <t>Code SISE</t>
        </is>
      </c>
      <c r="E1" t="inlineStr">
        <is>
          <t>Agrement</t>
        </is>
      </c>
    </row>
    <row r="2" ht="15.75" customHeight="1" thickBot="1">
      <c r="A2" t="inlineStr">
        <is>
          <t>1,2-DIBROMO-3-CHLOROPROPANE</t>
        </is>
      </c>
      <c r="B2" t="inlineStr">
        <is>
          <t>96-12-8</t>
        </is>
      </c>
      <c r="C2" s="1" t="n">
        <v>1479</v>
      </c>
      <c r="E2">
        <f>IFERROR(IF(_xlfn.XLOOKUP(#REF!, Tableau5[Code sandre], Tableau5[Code sandre],, 0) &lt;&gt; "", 1, ""), "")</f>
        <v/>
      </c>
      <c r="L2">
        <f t="array" ref="L2">_xlfn._xlws.FILTER(Tbl_Param[Param],COUNTIF(#REF!,Tbl_Param[Param])=0,"")</f>
        <v/>
      </c>
      <c r="N2" s="2" t="inlineStr">
        <is>
          <t>Colonne1</t>
        </is>
      </c>
      <c r="O2" s="2" t="inlineStr">
        <is>
          <t>Colonne2</t>
        </is>
      </c>
      <c r="Q2" t="inlineStr">
        <is>
          <t>sandre_param</t>
        </is>
      </c>
      <c r="R2" t="inlineStr">
        <is>
          <t>libelle_param</t>
        </is>
      </c>
      <c r="S2" t="inlineStr">
        <is>
          <t>Correspondance Tetraed</t>
        </is>
      </c>
      <c r="U2" t="inlineStr">
        <is>
          <t>124_TRIAZOLE</t>
        </is>
      </c>
    </row>
    <row r="3">
      <c r="A3" t="inlineStr">
        <is>
          <t>1,2-DIBROMOETHANE</t>
        </is>
      </c>
      <c r="B3" t="inlineStr">
        <is>
          <t>106-93-4</t>
        </is>
      </c>
      <c r="C3" s="1" t="n">
        <v>1498</v>
      </c>
      <c r="E3">
        <f>IFERROR(IF(_xlfn.XLOOKUP(#REF!, Tableau5[Code sandre], Tableau5[Code sandre],, 0) &lt;&gt; "", 1, ""), "")</f>
        <v/>
      </c>
      <c r="N3" s="3" t="inlineStr">
        <is>
          <t>DICAMBA_ST</t>
        </is>
      </c>
      <c r="O3" s="2">
        <f>VLOOKUP(Tableau12[[#This Row],[Colonne1]],Tbl_Param[],3,FALSE)</f>
        <v/>
      </c>
      <c r="Q3" s="4" t="n">
        <v>6660</v>
      </c>
      <c r="R3">
        <f t="array" ref="R3">_xlfn.XLOOKUP(Tableau14[[#This Row],[sandre_param]],#REF!,Tbl_Param[Param],"Non présent")</f>
        <v/>
      </c>
      <c r="U3" t="inlineStr">
        <is>
          <t>24_DICHLOROANILINE</t>
        </is>
      </c>
    </row>
    <row r="4">
      <c r="A4" t="inlineStr">
        <is>
          <t>1,2-DIBROMOETHANE_ST</t>
        </is>
      </c>
      <c r="B4" t="inlineStr">
        <is>
          <t>106-93-4</t>
        </is>
      </c>
      <c r="C4" s="1" t="n">
        <v>1498</v>
      </c>
      <c r="E4">
        <f>IFERROR(IF(_xlfn.XLOOKUP(#REF!, Tableau5[Code sandre], Tableau5[Code sandre],, 0) &lt;&gt; "", 1, ""), "")</f>
        <v/>
      </c>
      <c r="N4" s="5" t="inlineStr">
        <is>
          <t>FENPROPIDINE_ST</t>
        </is>
      </c>
      <c r="O4" s="5" t="inlineStr">
        <is>
          <t>=RECHERCHEV([@Colonne1];Tbl_Param;3;FAUX)</t>
        </is>
      </c>
      <c r="Q4" s="4" t="n">
        <v>7732</v>
      </c>
      <c r="R4">
        <f t="array" ref="R4">_xlfn.XLOOKUP(Tableau14[[#This Row],[sandre_param]],#REF!,Tbl_Param[Param],"Non présent")</f>
        <v/>
      </c>
      <c r="U4" t="inlineStr">
        <is>
          <t>24-D_TOTAL</t>
        </is>
      </c>
    </row>
    <row r="5">
      <c r="A5" t="inlineStr">
        <is>
          <t>1,2-DICHLOROPROPANE_ST</t>
        </is>
      </c>
      <c r="B5" t="inlineStr">
        <is>
          <t>78-87-5</t>
        </is>
      </c>
      <c r="C5" s="1" t="n">
        <v>1655</v>
      </c>
      <c r="E5">
        <f>IFERROR(IF(_xlfn.XLOOKUP(#REF!, Tableau5[Code sandre], Tableau5[Code sandre],, 0) &lt;&gt; "", 1, ""), "")</f>
        <v/>
      </c>
      <c r="N5" s="5" t="inlineStr">
        <is>
          <t>FLUFENACET_ST</t>
        </is>
      </c>
      <c r="O5" s="5">
        <f>VLOOKUP(Tableau12[[#This Row],[Colonne1]],Tbl_Param[],3,FALSE)</f>
        <v/>
      </c>
      <c r="Q5" s="4" t="n">
        <v>2974</v>
      </c>
      <c r="R5">
        <f t="array" ref="R5">_xlfn.XLOOKUP(Tableau14[[#This Row],[sandre_param]],C1353:C1353,Tbl_Param[Param],"Non présent")</f>
        <v/>
      </c>
      <c r="U5" t="inlineStr">
        <is>
          <t>24-DB_TOTAL</t>
        </is>
      </c>
    </row>
    <row r="6">
      <c r="A6" t="inlineStr">
        <is>
          <t>111-TRICHLORACETONE</t>
        </is>
      </c>
      <c r="B6" t="inlineStr">
        <is>
          <t>918-00-3</t>
        </is>
      </c>
      <c r="C6" s="1" t="n">
        <v>7850</v>
      </c>
      <c r="E6">
        <f>IFERROR(IF(_xlfn.XLOOKUP(#REF!, Tableau5[Code sandre], Tableau5[Code sandre],, 0) &lt;&gt; "", 1, ""), "")</f>
        <v/>
      </c>
      <c r="N6" s="5" t="inlineStr">
        <is>
          <t>LENACILE_ST</t>
        </is>
      </c>
      <c r="O6" s="5">
        <f>VLOOKUP(Tableau12[[#This Row],[Colonne1]],Tbl_Param[],3,FALSE)</f>
        <v/>
      </c>
      <c r="Q6" s="4" t="n">
        <v>1235</v>
      </c>
      <c r="R6">
        <f t="array" ref="R6">_xlfn.XLOOKUP(Tableau14[[#This Row],[sandre_param]],C1353:C1354,Tbl_Param[Param],"Non présent")</f>
        <v/>
      </c>
      <c r="U6" t="inlineStr">
        <is>
          <t>24-MCPA_TOTAL</t>
        </is>
      </c>
    </row>
    <row r="7">
      <c r="A7" t="inlineStr">
        <is>
          <t>111-TRICHLORETHANE</t>
        </is>
      </c>
      <c r="B7" t="inlineStr">
        <is>
          <t>71-55-6</t>
        </is>
      </c>
      <c r="C7" s="1" t="n">
        <v>1284</v>
      </c>
      <c r="D7" t="inlineStr">
        <is>
          <t>DNOC</t>
        </is>
      </c>
      <c r="E7">
        <f>IFERROR(IF(_xlfn.XLOOKUP(#REF!, Tableau5[Code sandre], Tableau5[Code sandre],, 0) &lt;&gt; "", 1, ""), "")</f>
        <v/>
      </c>
      <c r="N7" s="5" t="inlineStr">
        <is>
          <t>MINERALISATION_IMPRIMABLE</t>
        </is>
      </c>
      <c r="O7" s="5">
        <f>VLOOKUP(Tableau12[[#This Row],[Colonne1]],Tbl_Param[],3,FALSE)</f>
        <v/>
      </c>
      <c r="P7" s="6" t="n"/>
      <c r="Q7" s="4" t="n">
        <v>2563</v>
      </c>
      <c r="R7">
        <f t="array" ref="R7">_xlfn.XLOOKUP(Tableau14[[#This Row],[sandre_param]],C1353:C1355,Tbl_Param[Param],"Non présent")</f>
        <v/>
      </c>
      <c r="U7" t="inlineStr">
        <is>
          <t>2-OH-DESETHYLTERBUTYLAZINE</t>
        </is>
      </c>
    </row>
    <row r="8">
      <c r="A8" t="inlineStr">
        <is>
          <t>111-TRICHLOROPROPANONE</t>
        </is>
      </c>
      <c r="B8" t="inlineStr">
        <is>
          <t>918-00-3</t>
        </is>
      </c>
      <c r="C8" s="1" t="n">
        <v>1160</v>
      </c>
      <c r="E8">
        <f>IFERROR(IF(_xlfn.XLOOKUP(#REF!, Tableau5[Code sandre], Tableau5[Code sandre],, 0) &lt;&gt; "", 1, ""), "")</f>
        <v/>
      </c>
      <c r="N8" s="5" t="inlineStr">
        <is>
          <t>DATE_PRELEVEMENT</t>
        </is>
      </c>
      <c r="O8" s="5">
        <f>VLOOKUP(Tableau12[[#This Row],[Colonne1]],Tbl_Param[],3,FALSE)</f>
        <v/>
      </c>
      <c r="Q8" s="4" t="n">
        <v>1526</v>
      </c>
      <c r="R8">
        <f t="array" ref="R8">_xlfn.XLOOKUP(Tableau14[[#This Row],[sandre_param]],C1353:C1356,Tbl_Param[Param],"Non présent")</f>
        <v/>
      </c>
      <c r="U8" t="inlineStr">
        <is>
          <t>34-DICHLOROANILINE</t>
        </is>
      </c>
    </row>
    <row r="9">
      <c r="A9" t="inlineStr">
        <is>
          <t>1122-TETRACHLORETHANE</t>
        </is>
      </c>
      <c r="B9" t="inlineStr">
        <is>
          <t>79-34-5</t>
        </is>
      </c>
      <c r="C9" s="1" t="n">
        <v>1271</v>
      </c>
      <c r="E9">
        <f>IFERROR(IF(_xlfn.XLOOKUP(#REF!, Tableau5[Code sandre], Tableau5[Code sandre],, 0) &lt;&gt; "", 1, ""), "")</f>
        <v/>
      </c>
      <c r="N9" s="5" t="inlineStr">
        <is>
          <t>TEMPERATURE_IN_SITU</t>
        </is>
      </c>
      <c r="O9" s="5">
        <f>VLOOKUP(Tableau12[[#This Row],[Colonne1]],Tbl_Param[],3,FALSE)</f>
        <v/>
      </c>
      <c r="Q9" s="4" t="n">
        <v>7515</v>
      </c>
      <c r="R9">
        <f t="array" ref="R9">_xlfn.XLOOKUP(Tableau14[[#This Row],[sandre_param]],C1353:C1357,Tbl_Param[Param],"Non présent")</f>
        <v/>
      </c>
      <c r="U9" t="inlineStr">
        <is>
          <t>6-2_FTS</t>
        </is>
      </c>
    </row>
    <row r="10">
      <c r="A10" t="inlineStr">
        <is>
          <t>112-TRICHLORETHANE</t>
        </is>
      </c>
      <c r="B10" t="inlineStr">
        <is>
          <t>79-00-5</t>
        </is>
      </c>
      <c r="C10" s="1" t="n">
        <v>1285</v>
      </c>
      <c r="D10" t="inlineStr">
        <is>
          <t>12BRE</t>
        </is>
      </c>
      <c r="E10">
        <f>IFERROR(IF(_xlfn.XLOOKUP(#REF!, Tableau5[Code sandre], Tableau5[Code sandre],, 0) &lt;&gt; "", 1, ""), "")</f>
        <v/>
      </c>
      <c r="N10" s="5" t="inlineStr">
        <is>
          <t>INTERVALLE_DE_TEMPS</t>
        </is>
      </c>
      <c r="O10" s="5">
        <f>VLOOKUP(Tableau12[[#This Row],[Colonne1]],Tbl_Param[],3,FALSE)</f>
        <v/>
      </c>
      <c r="Q10" s="4" t="n">
        <v>1590</v>
      </c>
      <c r="R10">
        <f t="array" ref="R10">_xlfn.XLOOKUP(Tableau14[[#This Row],[sandre_param]],C1353:C1357,Tbl_Param[Param],"Non présent")</f>
        <v/>
      </c>
      <c r="U10" t="inlineStr">
        <is>
          <t>ACETOCHLORE_SAA</t>
        </is>
      </c>
    </row>
    <row r="11">
      <c r="A11" t="inlineStr">
        <is>
          <t>112-TRICHLORO_122-TRIFLUROROETHANE</t>
        </is>
      </c>
      <c r="B11" t="inlineStr">
        <is>
          <t>76-13-1</t>
        </is>
      </c>
      <c r="C11" s="1" t="n">
        <v>1196</v>
      </c>
      <c r="E11">
        <f>IFERROR(IF(_xlfn.XLOOKUP(#REF!, Tableau5[Code sandre], Tableau5[Code sandre],, 0) &lt;&gt; "", 1, ""), "")</f>
        <v/>
      </c>
      <c r="N11" s="5" t="inlineStr">
        <is>
          <t>PH_IN_SITU</t>
        </is>
      </c>
      <c r="O11" s="5">
        <f>VLOOKUP(Tableau12[[#This Row],[Colonne1]],Tbl_Param[],3,FALSE)</f>
        <v/>
      </c>
      <c r="Q11" s="4" t="n">
        <v>1681</v>
      </c>
      <c r="R11">
        <f t="array" ref="R11">_xlfn.XLOOKUP(Tableau14[[#This Row],[sandre_param]],C1353:C1358,Tbl_Param[Param],"Non présent")</f>
        <v/>
      </c>
      <c r="U11" t="inlineStr">
        <is>
          <t>ATRAZINE_DEISOPROPYL_2-HYDROXY</t>
        </is>
      </c>
    </row>
    <row r="12">
      <c r="A12" t="inlineStr">
        <is>
          <t>11Cl-PF3OUDS</t>
        </is>
      </c>
      <c r="C12" s="1" t="n">
        <v>9110</v>
      </c>
      <c r="E12">
        <f>IFERROR(IF(_xlfn.XLOOKUP(#REF!, Tableau5[Code sandre], Tableau5[Code sandre],, 0) &lt;&gt; "", 1, ""), "")</f>
        <v/>
      </c>
      <c r="N12" s="5" t="inlineStr">
        <is>
          <t>VOLUME_ECHANTILLON_PONCTUEL</t>
        </is>
      </c>
      <c r="O12" s="5">
        <f>VLOOKUP(Tableau12[[#This Row],[Colonne1]],Tbl_Param[],3,FALSE)</f>
        <v/>
      </c>
      <c r="Q12" s="4" t="n">
        <v>2766</v>
      </c>
      <c r="R12">
        <f t="array" ref="R12">_xlfn.XLOOKUP(Tableau14[[#This Row],[sandre_param]],C1353:C1359,Tbl_Param[Param],"Non présent")</f>
        <v/>
      </c>
      <c r="U12" t="inlineStr">
        <is>
          <t>ATRAZINE_DESETHY_2-HYDROXY</t>
        </is>
      </c>
    </row>
    <row r="13">
      <c r="A13" t="inlineStr">
        <is>
          <t>11-DICHLORETHANE</t>
        </is>
      </c>
      <c r="B13" t="inlineStr">
        <is>
          <t>75-34-3</t>
        </is>
      </c>
      <c r="C13" s="1" t="n">
        <v>1160</v>
      </c>
      <c r="E13">
        <f>IFERROR(IF(_xlfn.XLOOKUP(#REF!, Tableau5[Code sandre], Tableau5[Code sandre],, 0) &lt;&gt; "", 1, ""), "")</f>
        <v/>
      </c>
      <c r="N13" s="5" t="inlineStr">
        <is>
          <t>VOLUME_ECOULE</t>
        </is>
      </c>
      <c r="O13" s="5">
        <f>VLOOKUP(Tableau12[[#This Row],[Colonne1]],Tbl_Param[],3,FALSE)</f>
        <v/>
      </c>
      <c r="Q13" s="4" t="n">
        <v>1101</v>
      </c>
      <c r="R13">
        <f t="array" ref="R13">_xlfn.XLOOKUP(Tableau14[[#This Row],[sandre_param]],C1353:C1360,Tbl_Param[Param],"Non présent")</f>
        <v/>
      </c>
      <c r="U13" t="inlineStr">
        <is>
          <t>CARBENDAZIME_ST</t>
        </is>
      </c>
    </row>
    <row r="14">
      <c r="A14" t="inlineStr">
        <is>
          <t>11-DICHLORETHYLENE</t>
        </is>
      </c>
      <c r="B14" t="inlineStr">
        <is>
          <t>75-35-4</t>
        </is>
      </c>
      <c r="C14" s="1" t="n">
        <v>1162</v>
      </c>
      <c r="D14" t="inlineStr">
        <is>
          <t>NTA</t>
        </is>
      </c>
      <c r="E14">
        <f>IFERROR(IF(_xlfn.XLOOKUP(#REF!, Tableau5[Code sandre], Tableau5[Code sandre],, 0) &lt;&gt; "", 1, ""), "")</f>
        <v/>
      </c>
      <c r="N14" s="5" t="inlineStr">
        <is>
          <t>PROSULFOCARBE_ST</t>
        </is>
      </c>
      <c r="O14" s="5">
        <f>VLOOKUP(Tableau12[[#This Row],[Colonne1]],Tbl_Param[],3,FALSE)</f>
        <v/>
      </c>
      <c r="Q14" s="4" t="n">
        <v>1943</v>
      </c>
      <c r="R14">
        <f t="array" ref="R14">_xlfn.XLOOKUP(Tableau14[[#This Row],[sandre_param]],C1353:C1361,Tbl_Param[Param],"Non présent")</f>
        <v/>
      </c>
      <c r="U14" t="inlineStr">
        <is>
          <t>CARFENTRAZONE_ETHYL</t>
        </is>
      </c>
    </row>
    <row r="15">
      <c r="A15" t="inlineStr">
        <is>
          <t>11-DICHLOROPROPANONE</t>
        </is>
      </c>
      <c r="B15" t="inlineStr">
        <is>
          <t>513-88-2</t>
        </is>
      </c>
      <c r="C15" s="1" t="n">
        <v>7849</v>
      </c>
      <c r="D15" t="inlineStr">
        <is>
          <t>BTTNL</t>
        </is>
      </c>
      <c r="E15">
        <f>IFERROR(IF(_xlfn.XLOOKUP(#REF!, Tableau5[Code sandre], Tableau5[Code sandre],, 0) &lt;&gt; "", 1, ""), "")</f>
        <v/>
      </c>
      <c r="N15" s="5" t="inlineStr">
        <is>
          <t>MES</t>
        </is>
      </c>
      <c r="O15" s="5">
        <f>VLOOKUP(Tableau12[[#This Row],[Colonne1]],Tbl_Param[],3,FALSE)</f>
        <v/>
      </c>
      <c r="U15" t="inlineStr">
        <is>
          <t>CLOPYRALID_TOTAL</t>
        </is>
      </c>
    </row>
    <row r="16">
      <c r="A16" t="inlineStr">
        <is>
          <t>123-BENZOTRIAZOLE_ST</t>
        </is>
      </c>
      <c r="B16" t="inlineStr">
        <is>
          <t>95-14-7</t>
        </is>
      </c>
      <c r="C16" s="1" t="n">
        <v>7543</v>
      </c>
      <c r="E16">
        <f>IFERROR(IF(_xlfn.XLOOKUP(#REF!, Tableau5[Code sandre], Tableau5[Code sandre],, 0) &lt;&gt; "", 1, ""), "")</f>
        <v/>
      </c>
      <c r="N16" s="5" t="inlineStr">
        <is>
          <t>METOLACHLORE_ESA_ST</t>
        </is>
      </c>
      <c r="O16" s="5">
        <f>VLOOKUP(Tableau12[[#This Row],[Colonne1]],Tbl_Param[],3,FALSE)</f>
        <v/>
      </c>
      <c r="U16" t="inlineStr">
        <is>
          <t>DICAMBA_TOTAL</t>
        </is>
      </c>
    </row>
    <row r="17">
      <c r="A17" t="inlineStr">
        <is>
          <t>123-TRICHLOROBENZENE</t>
        </is>
      </c>
      <c r="B17" t="inlineStr">
        <is>
          <t>87-61-6</t>
        </is>
      </c>
      <c r="C17" s="1" t="n">
        <v>1630</v>
      </c>
      <c r="D17" t="inlineStr">
        <is>
          <t>ATCA</t>
        </is>
      </c>
      <c r="E17">
        <f>IFERROR(IF(_xlfn.XLOOKUP(#REF!, Tableau5[Code sandre], Tableau5[Code sandre],, 0) &lt;&gt; "", 1, ""), "")</f>
        <v/>
      </c>
      <c r="N17" s="5" t="inlineStr">
        <is>
          <t>METOLACHLORE_OXA_ST</t>
        </is>
      </c>
      <c r="O17" s="5">
        <f>VLOOKUP(Tableau12[[#This Row],[Colonne1]],Tbl_Param[],3,FALSE)</f>
        <v/>
      </c>
      <c r="U17" t="inlineStr">
        <is>
          <t>DICHLORPROP_TOTAL</t>
        </is>
      </c>
    </row>
    <row r="18">
      <c r="A18" t="inlineStr">
        <is>
          <t>123-TRICHLOROPROPANE</t>
        </is>
      </c>
      <c r="B18" t="inlineStr">
        <is>
          <t xml:space="preserve">96-18-4 </t>
        </is>
      </c>
      <c r="C18" s="1" t="n">
        <v>1854</v>
      </c>
      <c r="D18" t="inlineStr">
        <is>
          <t>245TCP</t>
        </is>
      </c>
      <c r="E18">
        <f>IFERROR(IF(_xlfn.XLOOKUP(#REF!, Tableau5[Code sandre], Tableau5[Code sandre],, 0) &lt;&gt; "", 1, ""), "")</f>
        <v/>
      </c>
      <c r="N18" s="5" t="inlineStr">
        <is>
          <t>INTERVALLE_DE_VOLUME</t>
        </is>
      </c>
      <c r="O18" s="5">
        <f>VLOOKUP(Tableau12[[#This Row],[Colonne1]],Tbl_Param[],3,FALSE)</f>
        <v/>
      </c>
      <c r="U18" t="inlineStr">
        <is>
          <t>GLYPHOSATE</t>
        </is>
      </c>
    </row>
    <row r="19">
      <c r="A19" t="inlineStr">
        <is>
          <t>123-TRIMETHYLBENZENE</t>
        </is>
      </c>
      <c r="B19" t="inlineStr">
        <is>
          <t>526-73-8</t>
        </is>
      </c>
      <c r="C19" s="1" t="n">
        <v>1857</v>
      </c>
      <c r="E19">
        <f>IFERROR(IF(_xlfn.XLOOKUP(#REF!, Tableau5[Code sandre], Tableau5[Code sandre],, 0) &lt;&gt; "", 1, ""), "")</f>
        <v/>
      </c>
      <c r="U19" t="inlineStr">
        <is>
          <t>HEPTACHLORE</t>
        </is>
      </c>
    </row>
    <row r="20">
      <c r="A20" t="inlineStr">
        <is>
          <t>123-TRIMETHYLBENZENE_ST</t>
        </is>
      </c>
      <c r="B20" t="inlineStr">
        <is>
          <t>526-73-8</t>
        </is>
      </c>
      <c r="C20" s="1" t="n">
        <v>1857</v>
      </c>
      <c r="E20">
        <f>IFERROR(IF(_xlfn.XLOOKUP(#REF!, Tableau5[Code sandre], Tableau5[Code sandre],, 0) &lt;&gt; "", 1, ""), "")</f>
        <v/>
      </c>
      <c r="N20" s="7" t="inlineStr">
        <is>
          <t>Code sandre</t>
        </is>
      </c>
      <c r="U20" t="inlineStr">
        <is>
          <t>HEPTACHLORE_EPOXIDE_EPO</t>
        </is>
      </c>
    </row>
    <row r="21">
      <c r="A21" t="inlineStr">
        <is>
          <t>124_TRIAZOLE</t>
        </is>
      </c>
      <c r="C21" t="n">
        <v>6808</v>
      </c>
      <c r="E21">
        <f>IFERROR(IF(_xlfn.XLOOKUP(#REF!, Tableau5[Code sandre], Tableau5[Code sandre],, 0) &lt;&gt; "", 1, ""), "")</f>
        <v/>
      </c>
      <c r="N21" s="8" t="n">
        <v>1162</v>
      </c>
      <c r="U21" t="inlineStr">
        <is>
          <t>HEPTACHLORE_EXO_EPOXIDE_ST</t>
        </is>
      </c>
    </row>
    <row r="22">
      <c r="A22" t="inlineStr">
        <is>
          <t>1245-TETRACHLOROBENZENE</t>
        </is>
      </c>
      <c r="B22" t="inlineStr">
        <is>
          <t>95-94-3</t>
        </is>
      </c>
      <c r="C22" s="1" t="n">
        <v>1631</v>
      </c>
      <c r="E22">
        <f>IFERROR(IF(_xlfn.XLOOKUP(#REF!, Tableau5[Code sandre], Tableau5[Code sandre],, 0) &lt;&gt; "", 1, ""), "")</f>
        <v/>
      </c>
      <c r="N22" s="8" t="n">
        <v>1116</v>
      </c>
      <c r="U22" t="inlineStr">
        <is>
          <t>MCPP_TOTAL_ET_MCPP-P</t>
        </is>
      </c>
    </row>
    <row r="23">
      <c r="A23" t="inlineStr">
        <is>
          <t>124-TRICHLOROBENZENE</t>
        </is>
      </c>
      <c r="B23" t="inlineStr">
        <is>
          <t>120-82-1</t>
        </is>
      </c>
      <c r="C23" s="1" t="n">
        <v>1283</v>
      </c>
      <c r="E23">
        <f>IFERROR(IF(_xlfn.XLOOKUP(#REF!, Tableau5[Code sandre], Tableau5[Code sandre],, 0) &lt;&gt; "", 1, ""), "")</f>
        <v/>
      </c>
      <c r="N23" s="8" t="n">
        <v>1386</v>
      </c>
      <c r="U23" t="inlineStr">
        <is>
          <t>NICOSULFURON_AUSN</t>
        </is>
      </c>
    </row>
    <row r="24">
      <c r="A24" t="inlineStr">
        <is>
          <t>124-TRIMETHYLBENZENE</t>
        </is>
      </c>
      <c r="B24" t="inlineStr">
        <is>
          <t>95-63-6</t>
        </is>
      </c>
      <c r="C24" s="1" t="n">
        <v>1609</v>
      </c>
      <c r="D24" t="inlineStr">
        <is>
          <t>246TCP</t>
        </is>
      </c>
      <c r="E24">
        <f>IFERROR(IF(_xlfn.XLOOKUP(#REF!, Tableau5[Code sandre], Tableau5[Code sandre],, 0) &lt;&gt; "", 1, ""), "")</f>
        <v/>
      </c>
      <c r="N24" s="8" t="n">
        <v>1208</v>
      </c>
      <c r="U24" t="inlineStr">
        <is>
          <t>NN_DIMETHYSULFAMIDE_DMS</t>
        </is>
      </c>
    </row>
    <row r="25">
      <c r="A25" t="inlineStr">
        <is>
          <t>124-TRIMETHYLBENZENE_ST</t>
        </is>
      </c>
      <c r="B25" t="inlineStr">
        <is>
          <t>95-63-6</t>
        </is>
      </c>
      <c r="C25" s="1" t="n">
        <v>1609</v>
      </c>
      <c r="E25">
        <f>IFERROR(IF(_xlfn.XLOOKUP(#REF!, Tableau5[Code sandre], Tableau5[Code sandre],, 0) &lt;&gt; "", 1, ""), "")</f>
        <v/>
      </c>
      <c r="N25" s="8" t="n">
        <v>1228</v>
      </c>
      <c r="U25" t="inlineStr">
        <is>
          <t>PFTRDA_ACIDE_PERFLUOROTRIDECANOIQUE</t>
        </is>
      </c>
    </row>
    <row r="26">
      <c r="A26" t="inlineStr">
        <is>
          <t>12-BENZISOTHIAZOLINE-3-ONE</t>
        </is>
      </c>
      <c r="B26" t="inlineStr">
        <is>
          <t>2634-33-5</t>
        </is>
      </c>
      <c r="C26" s="1" t="n">
        <v>8306</v>
      </c>
      <c r="E26">
        <f>IFERROR(IF(_xlfn.XLOOKUP(#REF!, Tableau5[Code sandre], Tableau5[Code sandre],, 0) &lt;&gt; "", 1, ""), "")</f>
        <v/>
      </c>
      <c r="N26" s="8" t="n">
        <v>6370</v>
      </c>
      <c r="U26" t="inlineStr">
        <is>
          <t>SOMME_20_PFAS</t>
        </is>
      </c>
    </row>
    <row r="27">
      <c r="A27" t="inlineStr">
        <is>
          <t>12-DICHLORETHANE</t>
        </is>
      </c>
      <c r="B27" t="inlineStr">
        <is>
          <t>107-06-2</t>
        </is>
      </c>
      <c r="C27" s="1" t="n">
        <v>1161</v>
      </c>
      <c r="E27">
        <f>IFERROR(IF(_xlfn.XLOOKUP(#REF!, Tableau5[Code sandre], Tableau5[Code sandre],, 0) &lt;&gt; "", 1, ""), "")</f>
        <v/>
      </c>
      <c r="N27" s="8" t="n">
        <v>1458</v>
      </c>
      <c r="U27" t="inlineStr">
        <is>
          <t>TERBUMETON_DESETHYL</t>
        </is>
      </c>
    </row>
    <row r="28">
      <c r="A28" t="inlineStr">
        <is>
          <t>12-DICHLORETHYLENE_CIS</t>
        </is>
      </c>
      <c r="B28" t="inlineStr">
        <is>
          <t>156-59-2</t>
        </is>
      </c>
      <c r="C28" s="1" t="n">
        <v>1456</v>
      </c>
      <c r="E28">
        <f>IFERROR(IF(_xlfn.XLOOKUP(#REF!, Tableau5[Code sandre], Tableau5[Code sandre],, 0) &lt;&gt; "", 1, ""), "")</f>
        <v/>
      </c>
      <c r="N28" s="8" t="n">
        <v>1314</v>
      </c>
      <c r="U28" t="inlineStr">
        <is>
          <t>TRIFLINATE_DE_POTASSIUM</t>
        </is>
      </c>
    </row>
    <row r="29">
      <c r="A29" t="inlineStr">
        <is>
          <t>12-DICHLORETHYLENE_TRANS</t>
        </is>
      </c>
      <c r="B29" t="inlineStr">
        <is>
          <t>156-60-5</t>
        </is>
      </c>
      <c r="C29" s="1" t="n">
        <v>1727</v>
      </c>
      <c r="E29">
        <f>IFERROR(IF(_xlfn.XLOOKUP(#REF!, Tableau5[Code sandre], Tableau5[Code sandre],, 0) &lt;&gt; "", 1, ""), "")</f>
        <v/>
      </c>
      <c r="N29" s="8" t="n">
        <v>1383</v>
      </c>
    </row>
    <row r="30">
      <c r="A30" t="inlineStr">
        <is>
          <t>12-DICHLORETHYLENES_TOTAUX_CIS_ET_TRANS</t>
        </is>
      </c>
      <c r="B30" t="inlineStr">
        <is>
          <t>540-59-0</t>
        </is>
      </c>
      <c r="C30" s="1" t="n">
        <v>1163</v>
      </c>
      <c r="D30" t="inlineStr">
        <is>
          <t>26DNTOL</t>
        </is>
      </c>
      <c r="E30">
        <f>IFERROR(IF(_xlfn.XLOOKUP(#REF!, Tableau5[Code sandre], Tableau5[Code sandre],, 0) &lt;&gt; "", 1, ""), "")</f>
        <v/>
      </c>
      <c r="N30" s="8" t="n">
        <v>1301</v>
      </c>
    </row>
    <row r="31">
      <c r="A31" t="inlineStr">
        <is>
          <t>12-DICHLOROBENZENE</t>
        </is>
      </c>
      <c r="B31" t="inlineStr">
        <is>
          <t>95-50-1</t>
        </is>
      </c>
      <c r="C31" s="1" t="n">
        <v>1165</v>
      </c>
      <c r="D31" t="inlineStr">
        <is>
          <t>24DNTOL</t>
        </is>
      </c>
      <c r="E31">
        <f>IFERROR(IF(_xlfn.XLOOKUP(#REF!, Tableau5[Code sandre], Tableau5[Code sandre],, 0) &lt;&gt; "", 1, ""), "")</f>
        <v/>
      </c>
      <c r="N31" s="8" t="n">
        <v>1373</v>
      </c>
    </row>
    <row r="32">
      <c r="A32" t="inlineStr">
        <is>
          <t>12-DICHLOROPROPANE</t>
        </is>
      </c>
      <c r="B32" t="inlineStr">
        <is>
          <t>78-87-5</t>
        </is>
      </c>
      <c r="C32" s="1" t="n">
        <v>1655</v>
      </c>
      <c r="D32" t="inlineStr">
        <is>
          <t>BIPHENY</t>
        </is>
      </c>
      <c r="E32">
        <f>IFERROR(IF(_xlfn.XLOOKUP(#REF!, Tableau5[Code sandre], Tableau5[Code sandre],, 0) &lt;&gt; "", 1, ""), "")</f>
        <v/>
      </c>
      <c r="N32" s="8" t="n">
        <v>1101</v>
      </c>
    </row>
    <row r="33">
      <c r="A33" t="inlineStr">
        <is>
          <t>13_CIS_DICHLOROPROPYLENE</t>
        </is>
      </c>
      <c r="B33" t="inlineStr">
        <is>
          <t>10061-01-5</t>
        </is>
      </c>
      <c r="C33" s="1" t="n">
        <v>1834</v>
      </c>
      <c r="E33">
        <f>IFERROR(IF(_xlfn.XLOOKUP(#REF!, Tableau5[Code sandre], Tableau5[Code sandre],, 0) &lt;&gt; "", 1, ""), "")</f>
        <v/>
      </c>
      <c r="N33" s="8" t="n">
        <v>1243</v>
      </c>
    </row>
    <row r="34">
      <c r="A34" t="inlineStr">
        <is>
          <t>1333_TETRAFLUOROPROPENE</t>
        </is>
      </c>
      <c r="B34" t="inlineStr">
        <is>
          <t>29118-24-9</t>
        </is>
      </c>
      <c r="C34" s="1" t="n">
        <v>9178</v>
      </c>
      <c r="E34">
        <f>IFERROR(IF(_xlfn.XLOOKUP(#REF!, Tableau5[Code sandre], Tableau5[Code sandre],, 0) &lt;&gt; "", 1, ""), "")</f>
        <v/>
      </c>
      <c r="N34" s="8" t="n">
        <v>1382</v>
      </c>
    </row>
    <row r="35">
      <c r="A35" t="inlineStr">
        <is>
          <t>1-34-DICHLOROPHENYL_3-METHYLUREE</t>
        </is>
      </c>
      <c r="B35" t="inlineStr">
        <is>
          <t>3567-62-2</t>
        </is>
      </c>
      <c r="C35" s="1" t="n">
        <v>1929</v>
      </c>
      <c r="E35">
        <f>IFERROR(IF(_xlfn.XLOOKUP(#REF!, Tableau5[Code sandre], Tableau5[Code sandre],, 0) &lt;&gt; "", 1, ""), "")</f>
        <v/>
      </c>
      <c r="N35" s="8" t="n">
        <v>1305</v>
      </c>
    </row>
    <row r="36">
      <c r="A36" t="inlineStr">
        <is>
          <t>1-34-DICHLOROPHENYL_UREE</t>
        </is>
      </c>
      <c r="B36" t="inlineStr">
        <is>
          <t>2327-02-8</t>
        </is>
      </c>
      <c r="C36" s="1" t="n">
        <v>1930</v>
      </c>
      <c r="E36">
        <f>IFERROR(IF(_xlfn.XLOOKUP(#REF!, Tableau5[Code sandre], Tableau5[Code sandre],, 0) &lt;&gt; "", 1, ""), "")</f>
        <v/>
      </c>
      <c r="N36" s="8" t="n">
        <v>6616</v>
      </c>
    </row>
    <row r="37">
      <c r="A37" t="inlineStr">
        <is>
          <t>135-TRICHLOROBENZENE</t>
        </is>
      </c>
      <c r="B37" t="inlineStr">
        <is>
          <t>108-70-3</t>
        </is>
      </c>
      <c r="C37" s="1" t="n">
        <v>1629</v>
      </c>
      <c r="E37">
        <f>IFERROR(IF(_xlfn.XLOOKUP(#REF!, Tableau5[Code sandre], Tableau5[Code sandre],, 0) &lt;&gt; "", 1, ""), "")</f>
        <v/>
      </c>
      <c r="N37" s="8" t="n">
        <v>1347</v>
      </c>
    </row>
    <row r="38">
      <c r="A38" t="inlineStr">
        <is>
          <t>135-TRIMETHYLBENZENE</t>
        </is>
      </c>
      <c r="B38" t="inlineStr">
        <is>
          <t>108-67-8</t>
        </is>
      </c>
      <c r="C38" s="1" t="n">
        <v>1509</v>
      </c>
      <c r="E38">
        <f>IFERROR(IF(_xlfn.XLOOKUP(#REF!, Tableau5[Code sandre], Tableau5[Code sandre],, 0) &lt;&gt; "", 1, ""), "")</f>
        <v/>
      </c>
      <c r="N38" s="8" t="n">
        <v>1167</v>
      </c>
    </row>
    <row r="39">
      <c r="A39" t="inlineStr">
        <is>
          <t>135-TRINITROBENZENE</t>
        </is>
      </c>
      <c r="B39" t="inlineStr">
        <is>
          <t>99-35-4</t>
        </is>
      </c>
      <c r="C39" s="1" t="n">
        <v>6184</v>
      </c>
      <c r="E39">
        <f>IFERROR(IF(_xlfn.XLOOKUP(#REF!, Tableau5[Code sandre], Tableau5[Code sandre],, 0) &lt;&gt; "", 1, ""), "")</f>
        <v/>
      </c>
      <c r="N39" s="8" t="n">
        <v>1877</v>
      </c>
    </row>
    <row r="40">
      <c r="A40" t="inlineStr">
        <is>
          <t>1-3-CHLORO_4-METTHYLPHENYL_UREE</t>
        </is>
      </c>
      <c r="B40" t="inlineStr">
        <is>
          <t>13142-64-8</t>
        </is>
      </c>
      <c r="C40" s="1" t="n">
        <v>2934</v>
      </c>
      <c r="E40">
        <f>IFERROR(IF(_xlfn.XLOOKUP(#REF!, Tableau5[Code sandre], Tableau5[Code sandre],, 0) &lt;&gt; "", 1, ""), "")</f>
        <v/>
      </c>
      <c r="N40" s="8" t="n">
        <v>1388</v>
      </c>
    </row>
    <row r="41">
      <c r="A41" t="inlineStr">
        <is>
          <t>13-DICHLOROBENZENE</t>
        </is>
      </c>
      <c r="B41" t="inlineStr">
        <is>
          <t>541-73-1</t>
        </is>
      </c>
      <c r="C41" s="1" t="n">
        <v>1164</v>
      </c>
      <c r="E41">
        <f>IFERROR(IF(_xlfn.XLOOKUP(#REF!, Tableau5[Code sandre], Tableau5[Code sandre],, 0) &lt;&gt; "", 1, ""), "")</f>
        <v/>
      </c>
      <c r="N41" s="8" t="n">
        <v>1383</v>
      </c>
    </row>
    <row r="42">
      <c r="A42" t="inlineStr">
        <is>
          <t>13-DICHLOROPROPANE</t>
        </is>
      </c>
      <c r="B42" t="inlineStr">
        <is>
          <t>142-28-9</t>
        </is>
      </c>
      <c r="C42" s="1" t="n">
        <v>1654</v>
      </c>
      <c r="E42">
        <f>IFERROR(IF(_xlfn.XLOOKUP(#REF!, Tableau5[Code sandre], Tableau5[Code sandre],, 0) &lt;&gt; "", 1, ""), "")</f>
        <v/>
      </c>
      <c r="N42" s="8" t="n">
        <v>6396</v>
      </c>
    </row>
    <row r="43">
      <c r="A43" t="inlineStr">
        <is>
          <t>13-DICHLOROPROPENE_CIS_ET_TRANS</t>
        </is>
      </c>
      <c r="B43" t="inlineStr">
        <is>
          <t>542-75-6</t>
        </is>
      </c>
      <c r="C43" s="1" t="n">
        <v>1487</v>
      </c>
      <c r="E43">
        <f>IFERROR(IF(_xlfn.XLOOKUP(#REF!, Tableau5[Code sandre], Tableau5[Code sandre],, 0) &lt;&gt; "", 1, ""), "")</f>
        <v/>
      </c>
      <c r="N43" s="8" t="n">
        <v>1168</v>
      </c>
    </row>
    <row r="44">
      <c r="A44" t="inlineStr">
        <is>
          <t>13-DINITROBENZENE</t>
        </is>
      </c>
      <c r="B44" t="inlineStr">
        <is>
          <t>99-65-0</t>
        </is>
      </c>
      <c r="C44" s="1" t="n">
        <v>5962</v>
      </c>
      <c r="E44">
        <f>IFERROR(IF(_xlfn.XLOOKUP(#REF!, Tableau5[Code sandre], Tableau5[Code sandre],, 0) &lt;&gt; "", 1, ""), "")</f>
        <v/>
      </c>
      <c r="N44" s="8" t="n">
        <v>1117</v>
      </c>
    </row>
    <row r="45">
      <c r="A45" t="inlineStr">
        <is>
          <t>13-TRANS-DICHLOROPROPYLENE</t>
        </is>
      </c>
      <c r="B45" t="inlineStr">
        <is>
          <t>10061-02-6</t>
        </is>
      </c>
      <c r="C45" s="1" t="n">
        <v>1835</v>
      </c>
      <c r="E45">
        <f>IFERROR(IF(_xlfn.XLOOKUP(#REF!, Tableau5[Code sandre], Tableau5[Code sandre],, 0) &lt;&gt; "", 1, ""), "")</f>
        <v/>
      </c>
      <c r="N45" s="8" t="n">
        <v>1394</v>
      </c>
    </row>
    <row r="46">
      <c r="A46" t="inlineStr">
        <is>
          <t>14-DICHLOROBENZENE</t>
        </is>
      </c>
      <c r="B46" t="inlineStr">
        <is>
          <t>106-46-7</t>
        </is>
      </c>
      <c r="C46" s="1" t="n">
        <v>1166</v>
      </c>
      <c r="E46">
        <f>IFERROR(IF(_xlfn.XLOOKUP(#REF!, Tableau5[Code sandre], Tableau5[Code sandre],, 0) &lt;&gt; "", 1, ""), "")</f>
        <v/>
      </c>
      <c r="N46" s="8" t="n">
        <v>1292</v>
      </c>
    </row>
    <row r="47">
      <c r="A47" t="inlineStr">
        <is>
          <t>1-4-ISOPROPYLPHENYL_3-METHYLUREE</t>
        </is>
      </c>
      <c r="B47" t="inlineStr">
        <is>
          <t>34123-57-4</t>
        </is>
      </c>
      <c r="C47" s="1" t="n">
        <v>2738</v>
      </c>
      <c r="E47">
        <f>IFERROR(IF(_xlfn.XLOOKUP(#REF!, Tableau5[Code sandre], Tableau5[Code sandre],, 0) &lt;&gt; "", 1, ""), "")</f>
        <v/>
      </c>
      <c r="N47" s="8" t="n">
        <v>1467</v>
      </c>
    </row>
    <row r="48">
      <c r="A48" t="inlineStr">
        <is>
          <t>1-4-ISOPROPYLPHENYL_UREE</t>
        </is>
      </c>
      <c r="B48" t="inlineStr">
        <is>
          <t>56046-17-4</t>
        </is>
      </c>
      <c r="C48" s="1" t="n">
        <v>2847</v>
      </c>
      <c r="D48" t="inlineStr">
        <is>
          <t>ADCA</t>
        </is>
      </c>
      <c r="E48">
        <f>IFERROR(IF(_xlfn.XLOOKUP(#REF!, Tableau5[Code sandre], Tableau5[Code sandre],, 0) &lt;&gt; "", 1, ""), "")</f>
        <v/>
      </c>
      <c r="N48" s="8" t="n">
        <v>1276</v>
      </c>
    </row>
    <row r="49">
      <c r="A49" t="inlineStr">
        <is>
          <t>17_A_ETHYNYLESTRADIOL</t>
        </is>
      </c>
      <c r="B49" t="inlineStr">
        <is>
          <t>57-63-6</t>
        </is>
      </c>
      <c r="C49" s="1" t="n">
        <v>2629</v>
      </c>
      <c r="E49">
        <f>IFERROR(IF(_xlfn.XLOOKUP(#REF!, Tableau5[Code sandre], Tableau5[Code sandre],, 0) &lt;&gt; "", 1, ""), "")</f>
        <v/>
      </c>
      <c r="N49" s="8" t="n">
        <v>1272</v>
      </c>
    </row>
    <row r="50">
      <c r="A50" t="inlineStr">
        <is>
          <t>17_B_ESTRADIOL</t>
        </is>
      </c>
      <c r="B50" t="inlineStr">
        <is>
          <t>57-63-6</t>
        </is>
      </c>
      <c r="C50" s="1" t="n">
        <v>2629</v>
      </c>
      <c r="E50">
        <f>IFERROR(IF(_xlfn.XLOOKUP(#REF!, Tableau5[Code sandre], Tableau5[Code sandre],, 0) &lt;&gt; "", 1, ""), "")</f>
        <v/>
      </c>
      <c r="N50" s="8" t="n">
        <v>7073</v>
      </c>
    </row>
    <row r="51">
      <c r="A51" t="inlineStr">
        <is>
          <t>1-METHYL-NAPHTALENE</t>
        </is>
      </c>
      <c r="B51" t="inlineStr">
        <is>
          <t>90-12-0</t>
        </is>
      </c>
      <c r="C51" s="1" t="n">
        <v>2725</v>
      </c>
      <c r="E51">
        <f>IFERROR(IF(_xlfn.XLOOKUP(#REF!, Tableau5[Code sandre], Tableau5[Code sandre],, 0) &lt;&gt; "", 1, ""), "")</f>
        <v/>
      </c>
      <c r="N51" s="8" t="n">
        <v>1204</v>
      </c>
    </row>
    <row r="52">
      <c r="A52" t="inlineStr">
        <is>
          <t>2,3,4,6-TETRACHLOROANISOLE_ST</t>
        </is>
      </c>
      <c r="B52" t="inlineStr">
        <is>
          <t xml:space="preserve"> 938-22-7</t>
        </is>
      </c>
      <c r="C52" s="1" t="n">
        <v>2760</v>
      </c>
      <c r="E52">
        <f>IFERROR(IF(_xlfn.XLOOKUP(#REF!, Tableau5[Code sandre], Tableau5[Code sandre],, 0) &lt;&gt; "", 1, ""), "")</f>
        <v/>
      </c>
      <c r="N52" s="8" t="n">
        <v>1278</v>
      </c>
    </row>
    <row r="53">
      <c r="A53" t="inlineStr">
        <is>
          <t>2,3,4,6-TETRACHLOROPHENOL_ST</t>
        </is>
      </c>
      <c r="B53" t="inlineStr">
        <is>
          <t>58-90-2</t>
        </is>
      </c>
      <c r="C53" s="1" t="n">
        <v>1274</v>
      </c>
      <c r="E53">
        <f>IFERROR(IF(_xlfn.XLOOKUP(#REF!, Tableau5[Code sandre], Tableau5[Code sandre],, 0) &lt;&gt; "", 1, ""), "")</f>
        <v/>
      </c>
      <c r="N53" s="8" t="n">
        <v>2017</v>
      </c>
    </row>
    <row r="54">
      <c r="A54" t="inlineStr">
        <is>
          <t>2,4,6-TRIBROMOANISOLE_ST</t>
        </is>
      </c>
      <c r="B54" t="inlineStr">
        <is>
          <t>607-99-8</t>
        </is>
      </c>
      <c r="C54" s="1" t="n">
        <v>8008</v>
      </c>
      <c r="E54">
        <f>IFERROR(IF(_xlfn.XLOOKUP(#REF!, Tableau5[Code sandre], Tableau5[Code sandre],, 0) &lt;&gt; "", 1, ""), "")</f>
        <v/>
      </c>
      <c r="N54" s="8" t="n">
        <v>1286</v>
      </c>
    </row>
    <row r="55">
      <c r="A55" t="inlineStr">
        <is>
          <t>2,4,6-TRICHLOROANISOLE_ST</t>
        </is>
      </c>
      <c r="B55" t="inlineStr">
        <is>
          <t>87-40-1</t>
        </is>
      </c>
      <c r="C55" s="1" t="n">
        <v>8009</v>
      </c>
      <c r="E55">
        <f>IFERROR(IF(_xlfn.XLOOKUP(#REF!, Tableau5[Code sandre], Tableau5[Code sandre],, 0) &lt;&gt; "", 1, ""), "")</f>
        <v/>
      </c>
      <c r="N55" s="8" t="n">
        <v>1204</v>
      </c>
    </row>
    <row r="56">
      <c r="A56" t="inlineStr">
        <is>
          <t>2,4,6-TRICHLOROPHENOL_ST</t>
        </is>
      </c>
      <c r="B56" t="inlineStr">
        <is>
          <t>88-06-2</t>
        </is>
      </c>
      <c r="C56" s="1" t="n">
        <v>1549</v>
      </c>
      <c r="E56">
        <f>IFERROR(IF(_xlfn.XLOOKUP(#REF!, Tableau5[Code sandre], Tableau5[Code sandre],, 0) &lt;&gt; "", 1, ""), "")</f>
        <v/>
      </c>
      <c r="N56" s="8" t="n">
        <v>6371</v>
      </c>
    </row>
    <row r="57">
      <c r="A57" t="inlineStr">
        <is>
          <t>2,4-DDT</t>
        </is>
      </c>
      <c r="B57" t="inlineStr">
        <is>
          <t>789-02-6</t>
        </is>
      </c>
      <c r="C57" s="1" t="n">
        <v>1147</v>
      </c>
      <c r="E57">
        <f>IFERROR(IF(_xlfn.XLOOKUP(#REF!, Tableau5[Code sandre], Tableau5[Code sandre],, 0) &lt;&gt; "", 1, ""), "")</f>
        <v/>
      </c>
      <c r="N57" s="8" t="n">
        <v>1276</v>
      </c>
    </row>
    <row r="58">
      <c r="A58" t="inlineStr">
        <is>
          <t>2,6-DICHLOROANILINE</t>
        </is>
      </c>
      <c r="B58" t="inlineStr">
        <is>
          <t>608-31-1</t>
        </is>
      </c>
      <c r="C58" s="1" t="n">
        <v>1587</v>
      </c>
      <c r="E58">
        <f>IFERROR(IF(_xlfn.XLOOKUP(#REF!, Tableau5[Code sandre], Tableau5[Code sandre],, 0) &lt;&gt; "", 1, ""), "")</f>
        <v/>
      </c>
      <c r="N58" s="8" t="n">
        <v>1285</v>
      </c>
    </row>
    <row r="59">
      <c r="A59" t="inlineStr">
        <is>
          <t>2_METHYL_CYCLOHEXANONE</t>
        </is>
      </c>
      <c r="B59" t="inlineStr">
        <is>
          <t>583-60-8</t>
        </is>
      </c>
      <c r="C59" s="1" t="n">
        <v>2630</v>
      </c>
      <c r="E59">
        <f>IFERROR(IF(_xlfn.XLOOKUP(#REF!, Tableau5[Code sandre], Tableau5[Code sandre],, 0) &lt;&gt; "", 1, ""), "")</f>
        <v/>
      </c>
      <c r="N59" s="8" t="n">
        <v>1453</v>
      </c>
    </row>
    <row r="60">
      <c r="A60" t="inlineStr">
        <is>
          <t>2_METHYLPENTANE</t>
        </is>
      </c>
      <c r="B60" t="inlineStr">
        <is>
          <t>107-83-5</t>
        </is>
      </c>
      <c r="C60" s="1" t="n">
        <v>2683</v>
      </c>
      <c r="E60">
        <f>IFERROR(IF(_xlfn.XLOOKUP(#REF!, Tableau5[Code sandre], Tableau5[Code sandre],, 0) &lt;&gt; "", 1, ""), "")</f>
        <v/>
      </c>
      <c r="N60" s="8" t="n">
        <v>1370</v>
      </c>
    </row>
    <row r="61">
      <c r="A61" t="inlineStr">
        <is>
          <t>2234456-HEPTABROMODIPHENYLETHER_BDE183_ST</t>
        </is>
      </c>
      <c r="C61" s="1" t="n">
        <v>2910</v>
      </c>
      <c r="E61">
        <f>IFERROR(IF(_xlfn.XLOOKUP(#REF!, Tableau5[Code sandre], Tableau5[Code sandre],, 0) &lt;&gt; "", 1, ""), "")</f>
        <v/>
      </c>
      <c r="N61" s="8" t="n">
        <v>1384</v>
      </c>
    </row>
    <row r="62">
      <c r="A62" t="inlineStr">
        <is>
          <t>224455-HEXABROMODIPHENYLETHER_BDE153_ST</t>
        </is>
      </c>
      <c r="C62" s="1" t="n">
        <v>2912</v>
      </c>
      <c r="E62">
        <f>IFERROR(IF(_xlfn.XLOOKUP(#REF!, Tableau5[Code sandre], Tableau5[Code sandre],, 0) &lt;&gt; "", 1, ""), "")</f>
        <v/>
      </c>
      <c r="N62" s="8" t="n">
        <v>1385</v>
      </c>
    </row>
    <row r="63">
      <c r="A63" t="inlineStr">
        <is>
          <t>224456-HEXABROMODIPHENYLETHER_BDE154_ST</t>
        </is>
      </c>
      <c r="C63" s="1" t="n">
        <v>2911</v>
      </c>
      <c r="E63">
        <f>IFERROR(IF(_xlfn.XLOOKUP(#REF!, Tableau5[Code sandre], Tableau5[Code sandre],, 0) &lt;&gt; "", 1, ""), "")</f>
        <v/>
      </c>
      <c r="N63" s="8" t="n">
        <v>1285</v>
      </c>
    </row>
    <row r="64">
      <c r="A64" t="inlineStr">
        <is>
          <t>22445-PENTABROMODIPHENYLETHER_BDE99_ST</t>
        </is>
      </c>
      <c r="C64" s="1" t="n">
        <v>2916</v>
      </c>
      <c r="E64">
        <f>IFERROR(IF(_xlfn.XLOOKUP(#REF!, Tableau5[Code sandre], Tableau5[Code sandre],, 0) &lt;&gt; "", 1, ""), "")</f>
        <v/>
      </c>
      <c r="N64" s="8" t="n">
        <v>7007</v>
      </c>
    </row>
    <row r="65">
      <c r="A65" t="inlineStr">
        <is>
          <t>22446-PENTABROMODIPHENYLETHER_BDE100_ST</t>
        </is>
      </c>
      <c r="C65" s="1" t="n">
        <v>2915</v>
      </c>
      <c r="E65">
        <f>IFERROR(IF(_xlfn.XLOOKUP(#REF!, Tableau5[Code sandre], Tableau5[Code sandre],, 0) &lt;&gt; "", 1, ""), "")</f>
        <v/>
      </c>
      <c r="N65" s="8" t="n">
        <v>1215</v>
      </c>
    </row>
    <row r="66">
      <c r="A66" t="inlineStr">
        <is>
          <t>2244-TETRABROMODIPHENYLETHER_BDE47_ST</t>
        </is>
      </c>
      <c r="C66" s="1" t="n">
        <v>2919</v>
      </c>
      <c r="E66">
        <f>IFERROR(IF(_xlfn.XLOOKUP(#REF!, Tableau5[Code sandre], Tableau5[Code sandre],, 0) &lt;&gt; "", 1, ""), "")</f>
        <v/>
      </c>
      <c r="N66" s="8" t="n">
        <v>2847</v>
      </c>
    </row>
    <row r="67">
      <c r="A67" t="inlineStr">
        <is>
          <t>2-2-BUTOXY_ETHOXY_ETHANOL</t>
        </is>
      </c>
      <c r="B67" t="inlineStr">
        <is>
          <t>112-34-5</t>
        </is>
      </c>
      <c r="C67" s="1" t="n">
        <v>2641</v>
      </c>
      <c r="D67" t="inlineStr">
        <is>
          <t>ME2NA</t>
        </is>
      </c>
      <c r="E67">
        <f>IFERROR(IF(_xlfn.XLOOKUP(#REF!, Tableau5[Code sandre], Tableau5[Code sandre],, 0) &lt;&gt; "", 1, ""), "")</f>
        <v/>
      </c>
      <c r="N67" s="8" t="n">
        <v>1629</v>
      </c>
    </row>
    <row r="68">
      <c r="A68" t="inlineStr">
        <is>
          <t>236-TRICHLOROPHENOL</t>
        </is>
      </c>
      <c r="B68" t="inlineStr">
        <is>
          <t>933-75-5</t>
        </is>
      </c>
      <c r="C68" s="1" t="n">
        <v>1642</v>
      </c>
      <c r="D68" t="inlineStr">
        <is>
          <t>ME2FL</t>
        </is>
      </c>
      <c r="E68">
        <f>IFERROR(IF(_xlfn.XLOOKUP(#REF!, Tableau5[Code sandre], Tableau5[Code sandre],, 0) &lt;&gt; "", 1, ""), "")</f>
        <v/>
      </c>
      <c r="N68" s="8" t="n">
        <v>1376</v>
      </c>
    </row>
    <row r="69">
      <c r="A69" t="inlineStr">
        <is>
          <t>2-3-CHLOROTOLUENE</t>
        </is>
      </c>
      <c r="B69" t="inlineStr">
        <is>
          <t>95-49-8</t>
        </is>
      </c>
      <c r="C69" s="1" t="n">
        <v>1602</v>
      </c>
      <c r="E69">
        <f>IFERROR(IF(_xlfn.XLOOKUP(#REF!, Tableau5[Code sandre], Tableau5[Code sandre],, 0) &lt;&gt; "", 1, ""), "")</f>
        <v/>
      </c>
      <c r="N69" s="8" t="n">
        <v>7073</v>
      </c>
    </row>
    <row r="70">
      <c r="A70" t="inlineStr">
        <is>
          <t>23-DIMETHYLANILINE</t>
        </is>
      </c>
      <c r="B70" t="inlineStr">
        <is>
          <t>87-59-2</t>
        </is>
      </c>
      <c r="C70" s="1" t="n">
        <v>7710</v>
      </c>
      <c r="E70">
        <f>IFERROR(IF(_xlfn.XLOOKUP(#REF!, Tableau5[Code sandre], Tableau5[Code sandre],, 0) &lt;&gt; "", 1, ""), "")</f>
        <v/>
      </c>
      <c r="N70" s="8" t="n">
        <v>1386</v>
      </c>
    </row>
    <row r="71">
      <c r="A71" t="inlineStr">
        <is>
          <t>24_D_ESTER</t>
        </is>
      </c>
      <c r="B71" t="inlineStr">
        <is>
          <t>94-75-7</t>
        </is>
      </c>
      <c r="C71" s="1" t="n">
        <v>1141</v>
      </c>
      <c r="E71">
        <f>IFERROR(IF(_xlfn.XLOOKUP(#REF!, Tableau5[Code sandre], Tableau5[Code sandre],, 0) &lt;&gt; "", 1, ""), "")</f>
        <v/>
      </c>
      <c r="N71" s="8" t="n">
        <v>5526</v>
      </c>
    </row>
    <row r="72">
      <c r="A72" t="inlineStr">
        <is>
          <t>24_D_ST</t>
        </is>
      </c>
      <c r="C72" s="1" t="n">
        <v>1141</v>
      </c>
      <c r="E72">
        <f>IFERROR(IF(_xlfn.XLOOKUP(#REF!, Tableau5[Code sandre], Tableau5[Code sandre],, 0) &lt;&gt; "", 1, ""), "")</f>
        <v/>
      </c>
      <c r="N72" s="8" t="n">
        <v>1313</v>
      </c>
    </row>
    <row r="73">
      <c r="A73" t="inlineStr">
        <is>
          <t>24_DB_ESTER</t>
        </is>
      </c>
      <c r="B73" t="inlineStr">
        <is>
          <t>94-82-6</t>
        </is>
      </c>
      <c r="C73" s="1" t="n">
        <v>1142</v>
      </c>
      <c r="E73">
        <f>IFERROR(IF(_xlfn.XLOOKUP(#REF!, Tableau5[Code sandre], Tableau5[Code sandre],, 0) &lt;&gt; "", 1, ""), "")</f>
        <v/>
      </c>
      <c r="N73" s="8" t="n">
        <v>1453</v>
      </c>
    </row>
    <row r="74">
      <c r="A74" t="inlineStr">
        <is>
          <t>24_DICHLOROANILINE</t>
        </is>
      </c>
      <c r="C74" t="n">
        <v>1589</v>
      </c>
      <c r="E74">
        <f>IFERROR(IF(_xlfn.XLOOKUP(#REF!, Tableau5[Code sandre], Tableau5[Code sandre],, 0) &lt;&gt; "", 1, ""), "")</f>
        <v/>
      </c>
      <c r="N74" s="8" t="n">
        <v>1369</v>
      </c>
    </row>
    <row r="75">
      <c r="A75" t="inlineStr">
        <is>
          <t>24_MCPA_ESTER</t>
        </is>
      </c>
      <c r="B75" t="inlineStr">
        <is>
          <t>94-74-6</t>
        </is>
      </c>
      <c r="C75" s="1" t="n">
        <v>1212</v>
      </c>
      <c r="E75">
        <f>IFERROR(IF(_xlfn.XLOOKUP(#REF!, Tableau5[Code sandre], Tableau5[Code sandre],, 0) &lt;&gt; "", 1, ""), "")</f>
        <v/>
      </c>
      <c r="N75" s="8" t="n">
        <v>1387</v>
      </c>
    </row>
    <row r="76">
      <c r="A76" t="inlineStr">
        <is>
          <t>24_MCPA_ST</t>
        </is>
      </c>
      <c r="B76" t="inlineStr">
        <is>
          <t>94-74-6</t>
        </is>
      </c>
      <c r="C76" s="1" t="n">
        <v>1212</v>
      </c>
      <c r="E76">
        <f>IFERROR(IF(_xlfn.XLOOKUP(#REF!, Tableau5[Code sandre], Tableau5[Code sandre],, 0) &lt;&gt; "", 1, ""), "")</f>
        <v/>
      </c>
      <c r="N76" s="8" t="n">
        <v>1302</v>
      </c>
    </row>
    <row r="77">
      <c r="A77" t="inlineStr">
        <is>
          <t>244-TRIBROMODIPHENYLETHER_BDE17_ST</t>
        </is>
      </c>
      <c r="B77" t="inlineStr">
        <is>
          <t>147217-75-2</t>
        </is>
      </c>
      <c r="C77" s="1" t="n">
        <v>2921</v>
      </c>
      <c r="E77">
        <f>IFERROR(IF(_xlfn.XLOOKUP(#REF!, Tableau5[Code sandre], Tableau5[Code sandre],, 0) &lt;&gt; "", 1, ""), "")</f>
        <v/>
      </c>
      <c r="N77" s="8" t="n">
        <v>1337</v>
      </c>
    </row>
    <row r="78">
      <c r="A78" t="inlineStr">
        <is>
          <t>244-TRIBROMODIPHENYLETHER_BDE28_ST</t>
        </is>
      </c>
      <c r="C78" s="1" t="n">
        <v>2920</v>
      </c>
      <c r="E78">
        <f>IFERROR(IF(_xlfn.XLOOKUP(#REF!, Tableau5[Code sandre], Tableau5[Code sandre],, 0) &lt;&gt; "", 1, ""), "")</f>
        <v/>
      </c>
      <c r="N78" s="8" t="n">
        <v>1286</v>
      </c>
    </row>
    <row r="79">
      <c r="A79" t="inlineStr">
        <is>
          <t>245-T_TOTAL</t>
        </is>
      </c>
      <c r="B79" t="inlineStr">
        <is>
          <t>93-76-5</t>
        </is>
      </c>
      <c r="C79" s="1" t="n">
        <v>1264</v>
      </c>
      <c r="D79" t="inlineStr">
        <is>
          <t>ANPHT</t>
        </is>
      </c>
      <c r="E79">
        <f>IFERROR(IF(_xlfn.XLOOKUP(#REF!, Tableau5[Code sandre], Tableau5[Code sandre],, 0) &lt;&gt; "", 1, ""), "")</f>
        <v/>
      </c>
      <c r="N79" s="8" t="n">
        <v>1379</v>
      </c>
    </row>
    <row r="80">
      <c r="A80" t="inlineStr">
        <is>
          <t>245-TRICHLOROPHENOL</t>
        </is>
      </c>
      <c r="B80" t="inlineStr">
        <is>
          <t>95-95-4</t>
        </is>
      </c>
      <c r="C80" s="1" t="n">
        <v>1548</v>
      </c>
      <c r="E80">
        <f>IFERROR(IF(_xlfn.XLOOKUP(#REF!, Tableau5[Code sandre], Tableau5[Code sandre],, 0) &lt;&gt; "", 1, ""), "")</f>
        <v/>
      </c>
      <c r="N80" s="8" t="n">
        <v>1369</v>
      </c>
    </row>
    <row r="81">
      <c r="A81" t="inlineStr">
        <is>
          <t>246-TRIBROMOPHENOL</t>
        </is>
      </c>
      <c r="B81" t="inlineStr">
        <is>
          <t>118-79-6</t>
        </is>
      </c>
      <c r="C81" s="1" t="n">
        <v>8525</v>
      </c>
      <c r="E81">
        <f>IFERROR(IF(_xlfn.XLOOKUP(#REF!, Tableau5[Code sandre], Tableau5[Code sandre],, 0) &lt;&gt; "", 1, ""), "")</f>
        <v/>
      </c>
      <c r="N81" s="8" t="n">
        <v>1122</v>
      </c>
    </row>
    <row r="82">
      <c r="A82" t="inlineStr">
        <is>
          <t>246-TRICHLOROPHENOL</t>
        </is>
      </c>
      <c r="B82" t="inlineStr">
        <is>
          <t>88-06-2</t>
        </is>
      </c>
      <c r="C82" s="1" t="n">
        <v>1549</v>
      </c>
      <c r="D82" t="inlineStr">
        <is>
          <t>135TCB</t>
        </is>
      </c>
      <c r="E82">
        <f>IFERROR(IF(_xlfn.XLOOKUP(#REF!, Tableau5[Code sandre], Tableau5[Code sandre],, 0) &lt;&gt; "", 1, ""), "")</f>
        <v/>
      </c>
      <c r="N82" s="8" t="n">
        <v>1392</v>
      </c>
    </row>
    <row r="83">
      <c r="A83" t="inlineStr">
        <is>
          <t>246-TRINITROTOLUENE</t>
        </is>
      </c>
      <c r="B83" t="inlineStr">
        <is>
          <t>118-96-7</t>
        </is>
      </c>
      <c r="C83" s="1" t="n">
        <v>2736</v>
      </c>
      <c r="E83">
        <f>IFERROR(IF(_xlfn.XLOOKUP(#REF!, Tableau5[Code sandre], Tableau5[Code sandre],, 0) &lt;&gt; "", 1, ""), "")</f>
        <v/>
      </c>
      <c r="N83" s="8" t="n">
        <v>1458</v>
      </c>
    </row>
    <row r="84">
      <c r="A84" t="inlineStr">
        <is>
          <t>24-D_LIBRE</t>
        </is>
      </c>
      <c r="B84" t="inlineStr">
        <is>
          <t>94-75-7</t>
        </is>
      </c>
      <c r="C84" s="1" t="n">
        <v>1141</v>
      </c>
      <c r="D84" t="inlineStr">
        <is>
          <t>123TCB</t>
        </is>
      </c>
      <c r="E84">
        <f>IFERROR(IF(_xlfn.XLOOKUP(#REF!, Tableau5[Code sandre], Tableau5[Code sandre],, 0) &lt;&gt; "", 1, ""), "")</f>
        <v/>
      </c>
      <c r="N84" s="8" t="n">
        <v>1372</v>
      </c>
    </row>
    <row r="85">
      <c r="A85" t="inlineStr">
        <is>
          <t>24-D_TOTAL</t>
        </is>
      </c>
      <c r="C85" t="n">
        <v>1141</v>
      </c>
      <c r="E85">
        <f>IFERROR(IF(_xlfn.XLOOKUP(#REF!, Tableau5[Code sandre], Tableau5[Code sandre],, 0) &lt;&gt; "", 1, ""), "")</f>
        <v/>
      </c>
      <c r="N85" s="8" t="n">
        <v>1959</v>
      </c>
    </row>
    <row r="86">
      <c r="A86" t="inlineStr">
        <is>
          <t>24-DB_TOTAL</t>
        </is>
      </c>
      <c r="C86" t="n">
        <v>1142</v>
      </c>
      <c r="E86">
        <f>IFERROR(IF(_xlfn.XLOOKUP(#REF!, Tableau5[Code sandre], Tableau5[Code sandre],, 0) &lt;&gt; "", 1, ""), "")</f>
        <v/>
      </c>
      <c r="N86" s="8" t="n">
        <v>1494</v>
      </c>
    </row>
    <row r="87">
      <c r="A87" t="inlineStr">
        <is>
          <t>24-DIAMINO_6-NITROTOLUENE</t>
        </is>
      </c>
      <c r="B87" t="inlineStr">
        <is>
          <t>6629-29-4</t>
        </is>
      </c>
      <c r="C87" s="1" t="n">
        <v>6197</v>
      </c>
      <c r="E87">
        <f>IFERROR(IF(_xlfn.XLOOKUP(#REF!, Tableau5[Code sandre], Tableau5[Code sandre],, 0) &lt;&gt; "", 1, ""), "")</f>
        <v/>
      </c>
      <c r="N87" s="8" t="n">
        <v>1272</v>
      </c>
    </row>
    <row r="88">
      <c r="A88" t="inlineStr">
        <is>
          <t>24-DIBROMOPHENOL</t>
        </is>
      </c>
      <c r="B88" t="inlineStr">
        <is>
          <t>615-58-7</t>
        </is>
      </c>
      <c r="C88" s="1" t="n">
        <v>8520</v>
      </c>
      <c r="E88">
        <f>IFERROR(IF(_xlfn.XLOOKUP(#REF!, Tableau5[Code sandre], Tableau5[Code sandre],, 0) &lt;&gt; "", 1, ""), "")</f>
        <v/>
      </c>
      <c r="N88" s="8" t="n">
        <v>1403</v>
      </c>
    </row>
    <row r="89">
      <c r="A89" t="inlineStr">
        <is>
          <t>24-DICHLOROPHENOL</t>
        </is>
      </c>
      <c r="B89" t="inlineStr">
        <is>
          <t>120-83-2</t>
        </is>
      </c>
      <c r="C89" s="1" t="n">
        <v>1486</v>
      </c>
      <c r="D89" t="inlineStr">
        <is>
          <t>TTCB</t>
        </is>
      </c>
      <c r="E89">
        <f>IFERROR(IF(_xlfn.XLOOKUP(#REF!, Tableau5[Code sandre], Tableau5[Code sandre],, 0) &lt;&gt; "", 1, ""), "")</f>
        <v/>
      </c>
      <c r="N89" s="8" t="n">
        <v>1118</v>
      </c>
    </row>
    <row r="90">
      <c r="A90" t="inlineStr">
        <is>
          <t>24-DIMETHYLPHENOL</t>
        </is>
      </c>
      <c r="B90" t="inlineStr">
        <is>
          <t>105-67-9</t>
        </is>
      </c>
      <c r="C90" s="1" t="n">
        <v>1641</v>
      </c>
      <c r="E90">
        <f>IFERROR(IF(_xlfn.XLOOKUP(#REF!, Tableau5[Code sandre], Tableau5[Code sandre],, 0) &lt;&gt; "", 1, ""), "")</f>
        <v/>
      </c>
      <c r="N90" s="8" t="n">
        <v>1389</v>
      </c>
    </row>
    <row r="91">
      <c r="A91" t="inlineStr">
        <is>
          <t>24-DINITROTOLUENE</t>
        </is>
      </c>
      <c r="B91" t="inlineStr">
        <is>
          <t>121-14-2</t>
        </is>
      </c>
      <c r="C91" s="1" t="n">
        <v>1578</v>
      </c>
      <c r="E91">
        <f>IFERROR(IF(_xlfn.XLOOKUP(#REF!, Tableau5[Code sandre], Tableau5[Code sandre],, 0) &lt;&gt; "", 1, ""), "")</f>
        <v/>
      </c>
      <c r="N91" s="8" t="n">
        <v>1203</v>
      </c>
    </row>
    <row r="92">
      <c r="A92" t="inlineStr">
        <is>
          <t>24-MCPA_LIBRE</t>
        </is>
      </c>
      <c r="B92" t="inlineStr">
        <is>
          <t>94-74-6</t>
        </is>
      </c>
      <c r="C92" s="1" t="n">
        <v>1212</v>
      </c>
      <c r="E92">
        <f>IFERROR(IF(_xlfn.XLOOKUP(#REF!, Tableau5[Code sandre], Tableau5[Code sandre],, 0) &lt;&gt; "", 1, ""), "")</f>
        <v/>
      </c>
      <c r="N92" s="8" t="n">
        <v>1177</v>
      </c>
    </row>
    <row r="93">
      <c r="A93" t="inlineStr">
        <is>
          <t>24-MCPA_TOTAL</t>
        </is>
      </c>
      <c r="C93" t="n">
        <v>1212</v>
      </c>
      <c r="E93">
        <f>IFERROR(IF(_xlfn.XLOOKUP(#REF!, Tableau5[Code sandre], Tableau5[Code sandre],, 0) &lt;&gt; "", 1, ""), "")</f>
        <v/>
      </c>
      <c r="N93" s="8" t="n">
        <v>1506</v>
      </c>
    </row>
    <row r="94">
      <c r="A94" t="inlineStr">
        <is>
          <t>24-MCPB_TOTAL</t>
        </is>
      </c>
      <c r="B94" t="inlineStr">
        <is>
          <t>94-81-5</t>
        </is>
      </c>
      <c r="C94" s="1" t="n">
        <v>1213</v>
      </c>
      <c r="E94">
        <f>IFERROR(IF(_xlfn.XLOOKUP(#REF!, Tableau5[Code sandre], Tableau5[Code sandre],, 0) &lt;&gt; "", 1, ""), "")</f>
        <v/>
      </c>
      <c r="N94" s="8" t="n">
        <v>1239</v>
      </c>
    </row>
    <row r="95">
      <c r="A95" t="inlineStr">
        <is>
          <t>24-TOLUENEDIAMINE</t>
        </is>
      </c>
      <c r="B95" t="inlineStr">
        <is>
          <t>95-80-7</t>
        </is>
      </c>
      <c r="C95" s="1" t="n">
        <v>6198</v>
      </c>
      <c r="E95">
        <f>IFERROR(IF(_xlfn.XLOOKUP(#REF!, Tableau5[Code sandre], Tableau5[Code sandre],, 0) &lt;&gt; "", 1, ""), "")</f>
        <v/>
      </c>
      <c r="N95" s="8" t="n">
        <v>1387</v>
      </c>
    </row>
    <row r="96">
      <c r="A96" t="inlineStr">
        <is>
          <t>25-DICHLOROPHENOL</t>
        </is>
      </c>
      <c r="B96" t="inlineStr">
        <is>
          <t>583-78-8</t>
        </is>
      </c>
      <c r="C96" s="1" t="n">
        <v>1649</v>
      </c>
      <c r="E96">
        <f>IFERROR(IF(_xlfn.XLOOKUP(#REF!, Tableau5[Code sandre], Tableau5[Code sandre],, 0) &lt;&gt; "", 1, ""), "")</f>
        <v/>
      </c>
      <c r="N96" s="8" t="n">
        <v>1841</v>
      </c>
    </row>
    <row r="97">
      <c r="A97" t="inlineStr">
        <is>
          <t>25-DIMETHYLANILINE</t>
        </is>
      </c>
      <c r="B97" t="inlineStr">
        <is>
          <t>95-78-3</t>
        </is>
      </c>
      <c r="C97" s="1" t="n">
        <v>7711</v>
      </c>
      <c r="D97" t="inlineStr">
        <is>
          <t>2,4DMP</t>
        </is>
      </c>
      <c r="E97">
        <f>IFERROR(IF(_xlfn.XLOOKUP(#REF!, Tableau5[Code sandre], Tableau5[Code sandre],, 0) &lt;&gt; "", 1, ""), "")</f>
        <v/>
      </c>
      <c r="N97" s="8" t="n">
        <v>1340</v>
      </c>
    </row>
    <row r="98">
      <c r="A98" t="inlineStr">
        <is>
          <t>26-DIBROMOPHENOL</t>
        </is>
      </c>
      <c r="B98" t="inlineStr">
        <is>
          <t>608-33-3</t>
        </is>
      </c>
      <c r="C98" s="1" t="n">
        <v>8521</v>
      </c>
      <c r="E98">
        <f>IFERROR(IF(_xlfn.XLOOKUP(#REF!, Tableau5[Code sandre], Tableau5[Code sandre],, 0) &lt;&gt; "", 1, ""), "")</f>
        <v/>
      </c>
      <c r="N98" s="8" t="n">
        <v>1245</v>
      </c>
    </row>
    <row r="99">
      <c r="A99" t="inlineStr">
        <is>
          <t>26-DICHLOROBENZAMIDE</t>
        </is>
      </c>
      <c r="B99" t="inlineStr">
        <is>
          <t>2008-58-4</t>
        </is>
      </c>
      <c r="C99" s="1" t="n">
        <v>2011</v>
      </c>
      <c r="E99">
        <f>IFERROR(IF(_xlfn.XLOOKUP(#REF!, Tableau5[Code sandre], Tableau5[Code sandre],, 0) &lt;&gt; "", 1, ""), "")</f>
        <v/>
      </c>
      <c r="N99" s="8" t="n">
        <v>1135</v>
      </c>
    </row>
    <row r="100">
      <c r="A100" t="inlineStr">
        <is>
          <t>26-DICHLOROBENZAMIDE_ST</t>
        </is>
      </c>
      <c r="B100" t="inlineStr">
        <is>
          <t>2008-58-4</t>
        </is>
      </c>
      <c r="C100" s="1" t="n">
        <v>2011</v>
      </c>
      <c r="E100">
        <f>IFERROR(IF(_xlfn.XLOOKUP(#REF!, Tableau5[Code sandre], Tableau5[Code sandre],, 0) &lt;&gt; "", 1, ""), "")</f>
        <v/>
      </c>
      <c r="N100" s="8" t="n">
        <v>1356</v>
      </c>
    </row>
    <row r="101">
      <c r="A101" t="inlineStr">
        <is>
          <t>26-DIETHYL_ANILINE</t>
        </is>
      </c>
      <c r="B101" t="inlineStr">
        <is>
          <t>87-62-7</t>
        </is>
      </c>
      <c r="C101" s="1" t="n">
        <v>5690</v>
      </c>
      <c r="E101">
        <f>IFERROR(IF(_xlfn.XLOOKUP(#REF!, Tableau5[Code sandre], Tableau5[Code sandre],, 0) &lt;&gt; "", 1, ""), "")</f>
        <v/>
      </c>
      <c r="N101" s="8" t="n">
        <v>1157</v>
      </c>
    </row>
    <row r="102">
      <c r="A102" t="inlineStr">
        <is>
          <t>26-DINITRO_P-CRESOL</t>
        </is>
      </c>
      <c r="B102" t="inlineStr">
        <is>
          <t>609-93-8</t>
        </is>
      </c>
      <c r="C102" s="1" t="n">
        <v>6200</v>
      </c>
      <c r="E102">
        <f>IFERROR(IF(_xlfn.XLOOKUP(#REF!, Tableau5[Code sandre], Tableau5[Code sandre],, 0) &lt;&gt; "", 1, ""), "")</f>
        <v/>
      </c>
      <c r="N102" s="8" t="n">
        <v>1376</v>
      </c>
    </row>
    <row r="103">
      <c r="A103" t="inlineStr">
        <is>
          <t>26-DINITROTOLUENE</t>
        </is>
      </c>
      <c r="B103" t="inlineStr">
        <is>
          <t>606-20-2</t>
        </is>
      </c>
      <c r="C103" s="1" t="n">
        <v>1577</v>
      </c>
      <c r="D103" t="inlineStr">
        <is>
          <t>4CP</t>
        </is>
      </c>
      <c r="E103">
        <f>IFERROR(IF(_xlfn.XLOOKUP(#REF!, Tableau5[Code sandre], Tableau5[Code sandre],, 0) &lt;&gt; "", 1, ""), "")</f>
        <v/>
      </c>
      <c r="N103" s="8" t="n">
        <v>1392</v>
      </c>
    </row>
    <row r="104">
      <c r="A104" t="inlineStr">
        <is>
          <t>26-XYLIDIN</t>
        </is>
      </c>
      <c r="B104" t="inlineStr">
        <is>
          <t>87-62-7</t>
        </is>
      </c>
      <c r="C104" s="1" t="n">
        <v>5690</v>
      </c>
      <c r="E104">
        <f>IFERROR(IF(_xlfn.XLOOKUP(#REF!, Tableau5[Code sandre], Tableau5[Code sandre],, 0) &lt;&gt; "", 1, ""), "")</f>
        <v/>
      </c>
      <c r="N104" s="8" t="n">
        <v>1161</v>
      </c>
    </row>
    <row r="105">
      <c r="A105" t="inlineStr">
        <is>
          <t>2-AMINO_46-DINITROTOLUENE</t>
        </is>
      </c>
      <c r="B105" t="inlineStr">
        <is>
          <t>35572-78-2</t>
        </is>
      </c>
      <c r="C105" s="1" t="n">
        <v>6201</v>
      </c>
      <c r="E105">
        <f>IFERROR(IF(_xlfn.XLOOKUP(#REF!, Tableau5[Code sandre], Tableau5[Code sandre],, 0) &lt;&gt; "", 1, ""), "")</f>
        <v/>
      </c>
      <c r="N105" s="8" t="n">
        <v>1393</v>
      </c>
    </row>
    <row r="106">
      <c r="A106" t="inlineStr">
        <is>
          <t>2-BUTANOL</t>
        </is>
      </c>
      <c r="B106" t="inlineStr">
        <is>
          <t>78-92-2</t>
        </is>
      </c>
      <c r="C106" s="1" t="n">
        <v>2570</v>
      </c>
      <c r="E106">
        <f>IFERROR(IF(_xlfn.XLOOKUP(#REF!, Tableau5[Code sandre], Tableau5[Code sandre],, 0) &lt;&gt; "", 1, ""), "")</f>
        <v/>
      </c>
      <c r="N106" s="8" t="n">
        <v>1305</v>
      </c>
    </row>
    <row r="107">
      <c r="A107" t="inlineStr">
        <is>
          <t>2-BUTOXYETHANOL</t>
        </is>
      </c>
      <c r="B107" t="inlineStr">
        <is>
          <t>111-76-2</t>
        </is>
      </c>
      <c r="C107" s="1" t="n">
        <v>2657</v>
      </c>
      <c r="D107" t="inlineStr">
        <is>
          <t>13DCPY</t>
        </is>
      </c>
      <c r="E107">
        <f>IFERROR(IF(_xlfn.XLOOKUP(#REF!, Tableau5[Code sandre], Tableau5[Code sandre],, 0) &lt;&gt; "", 1, ""), "")</f>
        <v/>
      </c>
      <c r="N107" s="8" t="n">
        <v>1954</v>
      </c>
    </row>
    <row r="108">
      <c r="A108" t="inlineStr">
        <is>
          <t>2-CHLOROPHENOL</t>
        </is>
      </c>
      <c r="B108" t="inlineStr">
        <is>
          <t>95-57-8</t>
        </is>
      </c>
      <c r="C108" s="1" t="n">
        <v>1471</v>
      </c>
      <c r="D108" t="inlineStr">
        <is>
          <t>12DCP</t>
        </is>
      </c>
      <c r="E108">
        <f>IFERROR(IF(_xlfn.XLOOKUP(#REF!, Tableau5[Code sandre], Tableau5[Code sandre],, 0) &lt;&gt; "", 1, ""), "")</f>
        <v/>
      </c>
      <c r="N108" s="8" t="n">
        <v>2879</v>
      </c>
    </row>
    <row r="109">
      <c r="A109" t="inlineStr">
        <is>
          <t>2-CHLOROTOLUENE</t>
        </is>
      </c>
      <c r="B109" t="inlineStr">
        <is>
          <t>95-49-8</t>
        </is>
      </c>
      <c r="C109" s="1" t="n">
        <v>1602</v>
      </c>
      <c r="E109">
        <f>IFERROR(IF(_xlfn.XLOOKUP(#REF!, Tableau5[Code sandre], Tableau5[Code sandre],, 0) &lt;&gt; "", 1, ""), "")</f>
        <v/>
      </c>
      <c r="N109" s="8" t="n">
        <v>2925</v>
      </c>
    </row>
    <row r="110">
      <c r="A110" t="inlineStr">
        <is>
          <t>2-ETHYL_6-METHYL_2-CHLORO_ACETANILIDE</t>
        </is>
      </c>
      <c r="B110" t="inlineStr">
        <is>
          <t>32428-71-0</t>
        </is>
      </c>
      <c r="C110" s="1" t="n">
        <v>2931</v>
      </c>
      <c r="D110" t="inlineStr">
        <is>
          <t>BRMCL</t>
        </is>
      </c>
      <c r="E110">
        <f>IFERROR(IF(_xlfn.XLOOKUP(#REF!, Tableau5[Code sandre], Tableau5[Code sandre],, 0) &lt;&gt; "", 1, ""), "")</f>
        <v/>
      </c>
      <c r="N110" s="8" t="n">
        <v>1315</v>
      </c>
    </row>
    <row r="111">
      <c r="A111" t="inlineStr">
        <is>
          <t>2-ETHYL_6-METHYL_ANILINE</t>
        </is>
      </c>
      <c r="B111" t="inlineStr">
        <is>
          <t>24549-06-2</t>
        </is>
      </c>
      <c r="C111" s="1" t="n">
        <v>2932</v>
      </c>
      <c r="D111" t="inlineStr">
        <is>
          <t>12DCP</t>
        </is>
      </c>
      <c r="E111">
        <f>IFERROR(IF(_xlfn.XLOOKUP(#REF!, Tableau5[Code sandre], Tableau5[Code sandre],, 0) &lt;&gt; "", 1, ""), "")</f>
        <v/>
      </c>
      <c r="N111" s="8" t="n">
        <v>1209</v>
      </c>
    </row>
    <row r="112">
      <c r="A112" t="inlineStr">
        <is>
          <t>2-HYDROXYATRAZINE</t>
        </is>
      </c>
      <c r="B112" t="inlineStr">
        <is>
          <t>2163-68-0</t>
        </is>
      </c>
      <c r="C112" s="1" t="n">
        <v>1832</v>
      </c>
      <c r="D112" t="inlineStr">
        <is>
          <t>BAX</t>
        </is>
      </c>
      <c r="E112">
        <f>IFERROR(IF(_xlfn.XLOOKUP(#REF!, Tableau5[Code sandre], Tableau5[Code sandre],, 0) &lt;&gt; "", 1, ""), "")</f>
        <v/>
      </c>
      <c r="N112" s="8" t="n">
        <v>1332</v>
      </c>
    </row>
    <row r="113">
      <c r="A113" t="inlineStr">
        <is>
          <t>2-HYDROXYIBUPROFEN</t>
        </is>
      </c>
      <c r="B113" t="inlineStr">
        <is>
          <t>51146-55-5</t>
        </is>
      </c>
      <c r="C113" s="1" t="n">
        <v>7012</v>
      </c>
      <c r="D113" t="inlineStr">
        <is>
          <t>CNPA</t>
        </is>
      </c>
      <c r="E113">
        <f>IFERROR(IF(_xlfn.XLOOKUP(#REF!, Tableau5[Code sandre], Tableau5[Code sandre],, 0) &lt;&gt; "", 1, ""), "")</f>
        <v/>
      </c>
      <c r="N113" s="8" t="n">
        <v>1338</v>
      </c>
    </row>
    <row r="114">
      <c r="A114" t="inlineStr">
        <is>
          <t>2-HYDROXYSIMAZINE</t>
        </is>
      </c>
      <c r="B114" t="inlineStr">
        <is>
          <t>2599-11-3</t>
        </is>
      </c>
      <c r="C114" s="1" t="n">
        <v>1831</v>
      </c>
      <c r="D114" t="inlineStr">
        <is>
          <t>CNPA</t>
        </is>
      </c>
      <c r="E114">
        <f>IFERROR(IF(_xlfn.XLOOKUP(#REF!, Tableau5[Code sandre], Tableau5[Code sandre],, 0) &lt;&gt; "", 1, ""), "")</f>
        <v/>
      </c>
      <c r="N114" s="8" t="n">
        <v>1382</v>
      </c>
    </row>
    <row r="115">
      <c r="A115" t="inlineStr">
        <is>
          <t>2-HYDROXYTERBUTHYLAZINE</t>
        </is>
      </c>
      <c r="B115" t="inlineStr">
        <is>
          <t>66753-07-9</t>
        </is>
      </c>
      <c r="C115" s="1" t="n">
        <v>1954</v>
      </c>
      <c r="E115">
        <f>IFERROR(IF(_xlfn.XLOOKUP(#REF!, Tableau5[Code sandre], Tableau5[Code sandre],, 0) &lt;&gt; "", 1, ""), "")</f>
        <v/>
      </c>
      <c r="N115" s="8" t="n"/>
    </row>
    <row r="116">
      <c r="A116" t="inlineStr">
        <is>
          <t>2-METHYL_4-ISOTHIAZOLINE_3-ONE_HYDROCHLORIDE</t>
        </is>
      </c>
      <c r="B116" t="inlineStr">
        <is>
          <t>2682-20-4</t>
        </is>
      </c>
      <c r="C116" s="1" t="n">
        <v>8253</v>
      </c>
      <c r="E116">
        <f>IFERROR(IF(_xlfn.XLOOKUP(#REF!, Tableau5[Code sandre], Tableau5[Code sandre],, 0) &lt;&gt; "", 1, ""), "")</f>
        <v/>
      </c>
      <c r="N116" s="8" t="n">
        <v>1389</v>
      </c>
    </row>
    <row r="117">
      <c r="A117" t="inlineStr">
        <is>
          <t>2METHYL_4ISOTHIAZOLINE_3ONE_MIT</t>
        </is>
      </c>
      <c r="B117" t="inlineStr">
        <is>
          <t>26172-55-4</t>
        </is>
      </c>
      <c r="C117" s="1" t="n">
        <v>8252</v>
      </c>
      <c r="E117">
        <f>IFERROR(IF(_xlfn.XLOOKUP(#REF!, Tableau5[Code sandre], Tableau5[Code sandre],, 0) &lt;&gt; "", 1, ""), "")</f>
        <v/>
      </c>
      <c r="N117" s="8" t="n">
        <v>1528</v>
      </c>
    </row>
    <row r="118">
      <c r="A118" t="inlineStr">
        <is>
          <t>2-METHYL_FLUORANTHENE</t>
        </is>
      </c>
      <c r="B118" t="inlineStr">
        <is>
          <t>33543-31-6</t>
        </is>
      </c>
      <c r="C118" s="1" t="n">
        <v>1619</v>
      </c>
      <c r="E118">
        <f>IFERROR(IF(_xlfn.XLOOKUP(#REF!, Tableau5[Code sandre], Tableau5[Code sandre],, 0) &lt;&gt; "", 1, ""), "")</f>
        <v/>
      </c>
      <c r="N118" s="8" t="n">
        <v>1106</v>
      </c>
    </row>
    <row r="119">
      <c r="A119" t="inlineStr">
        <is>
          <t>2-METHYL_FLUORANTHENE_ST</t>
        </is>
      </c>
      <c r="B119" t="inlineStr">
        <is>
          <t>33543-31-6</t>
        </is>
      </c>
      <c r="C119" s="1" t="n">
        <v>1619</v>
      </c>
      <c r="E119">
        <f>IFERROR(IF(_xlfn.XLOOKUP(#REF!, Tableau5[Code sandre], Tableau5[Code sandre],, 0) &lt;&gt; "", 1, ""), "")</f>
        <v/>
      </c>
      <c r="N119" s="8" t="n">
        <v>1394</v>
      </c>
    </row>
    <row r="120">
      <c r="A120" t="inlineStr">
        <is>
          <t>2-METHYL_NAPHTALENE</t>
        </is>
      </c>
      <c r="B120" t="inlineStr">
        <is>
          <t>91-57-6</t>
        </is>
      </c>
      <c r="C120" s="1" t="n">
        <v>1618</v>
      </c>
      <c r="D120" t="inlineStr">
        <is>
          <t>DCLE</t>
        </is>
      </c>
      <c r="E120">
        <f>IFERROR(IF(_xlfn.XLOOKUP(#REF!, Tableau5[Code sandre], Tableau5[Code sandre],, 0) &lt;&gt; "", 1, ""), "")</f>
        <v/>
      </c>
      <c r="N120" s="8" t="n">
        <v>1456</v>
      </c>
    </row>
    <row r="121">
      <c r="A121" t="inlineStr">
        <is>
          <t>2-METHYL_PROPANE</t>
        </is>
      </c>
      <c r="B121" t="inlineStr">
        <is>
          <t>75-28-5</t>
        </is>
      </c>
      <c r="C121" s="1" t="n">
        <v>6058</v>
      </c>
      <c r="D121" t="inlineStr">
        <is>
          <t>ARC16</t>
        </is>
      </c>
      <c r="E121">
        <f>IFERROR(IF(_xlfn.XLOOKUP(#REF!, Tableau5[Code sandre], Tableau5[Code sandre],, 0) &lt;&gt; "", 1, ""), "")</f>
        <v/>
      </c>
      <c r="N121" s="8" t="n">
        <v>2555</v>
      </c>
    </row>
    <row r="122">
      <c r="A122" t="inlineStr">
        <is>
          <t>2-NAPHTYLAMINE</t>
        </is>
      </c>
      <c r="B122" t="inlineStr">
        <is>
          <t>91-59-8</t>
        </is>
      </c>
      <c r="C122" s="1" t="n">
        <v>6691</v>
      </c>
      <c r="E122">
        <f>IFERROR(IF(_xlfn.XLOOKUP(#REF!, Tableau5[Code sandre], Tableau5[Code sandre],, 0) &lt;&gt; "", 1, ""), "")</f>
        <v/>
      </c>
      <c r="N122" s="8" t="n">
        <v>1116</v>
      </c>
    </row>
    <row r="123">
      <c r="A123" t="inlineStr">
        <is>
          <t>2-NITRODIPHENYLAMINE</t>
        </is>
      </c>
      <c r="B123" t="inlineStr">
        <is>
          <t>119-75-5</t>
        </is>
      </c>
      <c r="C123" s="1" t="n">
        <v>6203</v>
      </c>
      <c r="E123">
        <f>IFERROR(IF(_xlfn.XLOOKUP(#REF!, Tableau5[Code sandre], Tableau5[Code sandre],, 0) &lt;&gt; "", 1, ""), "")</f>
        <v/>
      </c>
      <c r="N123" s="8" t="n">
        <v>1115</v>
      </c>
    </row>
    <row r="124">
      <c r="A124" t="inlineStr">
        <is>
          <t>2-NITROTOLUENE</t>
        </is>
      </c>
      <c r="B124" t="inlineStr">
        <is>
          <t>88-72-2</t>
        </is>
      </c>
      <c r="C124" s="1" t="n">
        <v>2613</v>
      </c>
      <c r="E124">
        <f>IFERROR(IF(_xlfn.XLOOKUP(#REF!, Tableau5[Code sandre], Tableau5[Code sandre],, 0) &lt;&gt; "", 1, ""), "")</f>
        <v/>
      </c>
      <c r="N124" s="8" t="n">
        <v>1464</v>
      </c>
    </row>
    <row r="125">
      <c r="A125" t="inlineStr">
        <is>
          <t>2-OH-DESETHYLTERBUTYLAZINE</t>
        </is>
      </c>
      <c r="C125" t="n">
        <v>7150</v>
      </c>
      <c r="E125">
        <f>IFERROR(IF(_xlfn.XLOOKUP(#REF!, Tableau5[Code sandre], Tableau5[Code sandre],, 0) &lt;&gt; "", 1, ""), "")</f>
        <v/>
      </c>
      <c r="N125" s="8" t="n">
        <v>1414</v>
      </c>
    </row>
    <row r="126">
      <c r="A126" t="inlineStr">
        <is>
          <t>3:3 FTCA</t>
        </is>
      </c>
      <c r="B126" t="inlineStr">
        <is>
          <t>356-02-5</t>
        </is>
      </c>
      <c r="C126" s="1" t="n">
        <v>9170</v>
      </c>
      <c r="E126">
        <f>IFERROR(IF(_xlfn.XLOOKUP(#REF!, Tableau5[Code sandre], Tableau5[Code sandre],, 0) &lt;&gt; "", 1, ""), "")</f>
        <v/>
      </c>
      <c r="N126" s="8" t="n">
        <v>1118</v>
      </c>
    </row>
    <row r="127">
      <c r="A127" t="inlineStr">
        <is>
          <t>3_METHYLPENTANE</t>
        </is>
      </c>
      <c r="B127" t="inlineStr">
        <is>
          <t>96-14-0</t>
        </is>
      </c>
      <c r="C127" s="1" t="n">
        <v>6584</v>
      </c>
      <c r="E127">
        <f>IFERROR(IF(_xlfn.XLOOKUP(#REF!, Tableau5[Code sandre], Tableau5[Code sandre],, 0) &lt;&gt; "", 1, ""), "")</f>
        <v/>
      </c>
      <c r="N127" s="8" t="n">
        <v>1241</v>
      </c>
    </row>
    <row r="128">
      <c r="A128" t="inlineStr">
        <is>
          <t>345_TRICHLORO_PHENOL</t>
        </is>
      </c>
      <c r="B128" t="inlineStr">
        <is>
          <t>609-19-8</t>
        </is>
      </c>
      <c r="C128" s="1" t="n">
        <v>1723</v>
      </c>
      <c r="E128">
        <f>IFERROR(IF(_xlfn.XLOOKUP(#REF!, Tableau5[Code sandre], Tableau5[Code sandre],, 0) &lt;&gt; "", 1, ""), "")</f>
        <v/>
      </c>
      <c r="N128" s="8" t="n">
        <v>1166</v>
      </c>
    </row>
    <row r="129">
      <c r="A129" t="inlineStr">
        <is>
          <t>34-DICHLOROANILINE</t>
        </is>
      </c>
      <c r="C129" t="n">
        <v>1586</v>
      </c>
      <c r="E129">
        <f>IFERROR(IF(_xlfn.XLOOKUP(#REF!, Tableau5[Code sandre], Tableau5[Code sandre],, 0) &lt;&gt; "", 1, ""), "")</f>
        <v/>
      </c>
      <c r="N129" s="8" t="n">
        <v>2925</v>
      </c>
    </row>
    <row r="130">
      <c r="A130" t="inlineStr">
        <is>
          <t>34-DIMETHYLANILINE</t>
        </is>
      </c>
      <c r="B130" t="inlineStr">
        <is>
          <t>95-64-7</t>
        </is>
      </c>
      <c r="C130" s="1" t="n">
        <v>6375</v>
      </c>
      <c r="D130" t="inlineStr">
        <is>
          <t>BRATE</t>
        </is>
      </c>
      <c r="E130">
        <f>IFERROR(IF(_xlfn.XLOOKUP(#REF!, Tableau5[Code sandre], Tableau5[Code sandre],, 0) &lt;&gt; "", 1, ""), "")</f>
        <v/>
      </c>
      <c r="N130" s="8" t="n">
        <v>1841</v>
      </c>
    </row>
    <row r="131">
      <c r="A131" t="inlineStr">
        <is>
          <t>3-4-DINITROTOLUENE</t>
        </is>
      </c>
      <c r="B131" t="inlineStr">
        <is>
          <t>610-39-9</t>
        </is>
      </c>
      <c r="C131" s="1" t="n">
        <v>6204</v>
      </c>
      <c r="D131" t="inlineStr">
        <is>
          <t>3HXC</t>
        </is>
      </c>
      <c r="E131">
        <f>IFERROR(IF(_xlfn.XLOOKUP(#REF!, Tableau5[Code sandre], Tableau5[Code sandre],, 0) &lt;&gt; "", 1, ""), "")</f>
        <v/>
      </c>
      <c r="N131" s="8" t="n">
        <v>1115</v>
      </c>
    </row>
    <row r="132">
      <c r="A132" t="inlineStr">
        <is>
          <t>35-DICHLOROANILINE</t>
        </is>
      </c>
      <c r="B132" t="inlineStr">
        <is>
          <t>626-43-7</t>
        </is>
      </c>
      <c r="C132" s="1" t="n">
        <v>1585</v>
      </c>
      <c r="E132">
        <f>IFERROR(IF(_xlfn.XLOOKUP(#REF!, Tableau5[Code sandre], Tableau5[Code sandre],, 0) &lt;&gt; "", 1, ""), "")</f>
        <v/>
      </c>
      <c r="N132" s="8" t="n">
        <v>1371</v>
      </c>
    </row>
    <row r="133">
      <c r="A133" t="inlineStr">
        <is>
          <t>35-DIMETHYLANILINE</t>
        </is>
      </c>
      <c r="B133" t="inlineStr">
        <is>
          <t>108-69-0</t>
        </is>
      </c>
      <c r="C133" s="1" t="n">
        <v>7712</v>
      </c>
      <c r="D133" t="inlineStr">
        <is>
          <t>BRATE</t>
        </is>
      </c>
      <c r="E133">
        <f>IFERROR(IF(_xlfn.XLOOKUP(#REF!, Tableau5[Code sandre], Tableau5[Code sandre],, 0) &lt;&gt; "", 1, ""), "")</f>
        <v/>
      </c>
      <c r="N133" s="8" t="n">
        <v>1345</v>
      </c>
    </row>
    <row r="134">
      <c r="A134" t="inlineStr">
        <is>
          <t>3-BROMOPHENOL</t>
        </is>
      </c>
      <c r="B134" t="inlineStr">
        <is>
          <t>591-20-8</t>
        </is>
      </c>
      <c r="C134" s="1" t="n">
        <v>8523</v>
      </c>
      <c r="E134">
        <f>IFERROR(IF(_xlfn.XLOOKUP(#REF!, Tableau5[Code sandre], Tableau5[Code sandre],, 0) &lt;&gt; "", 1, ""), "")</f>
        <v/>
      </c>
      <c r="N134" s="8" t="n">
        <v>1342</v>
      </c>
    </row>
    <row r="135">
      <c r="A135" t="inlineStr">
        <is>
          <t>3-CHLORO_2-METHYLANILINE</t>
        </is>
      </c>
      <c r="B135" t="inlineStr">
        <is>
          <t>87-60-5</t>
        </is>
      </c>
      <c r="C135" s="1" t="n">
        <v>2819</v>
      </c>
      <c r="D135" t="inlineStr">
        <is>
          <t>ALDSN</t>
        </is>
      </c>
      <c r="E135">
        <f>IFERROR(IF(_xlfn.XLOOKUP(#REF!, Tableau5[Code sandre], Tableau5[Code sandre],, 0) &lt;&gt; "", 1, ""), "")</f>
        <v/>
      </c>
      <c r="N135" s="8" t="n">
        <v>1335</v>
      </c>
    </row>
    <row r="136">
      <c r="A136" t="inlineStr">
        <is>
          <t>3-CHLOROPHENOL</t>
        </is>
      </c>
      <c r="B136" t="inlineStr">
        <is>
          <t>108-43-0</t>
        </is>
      </c>
      <c r="C136" s="1" t="n">
        <v>1651</v>
      </c>
      <c r="D136" t="inlineStr">
        <is>
          <t>ACYINE</t>
        </is>
      </c>
      <c r="E136">
        <f>IFERROR(IF(_xlfn.XLOOKUP(#REF!, Tableau5[Code sandre], Tableau5[Code sandre],, 0) &lt;&gt; "", 1, ""), "")</f>
        <v/>
      </c>
      <c r="N136" s="8" t="n">
        <v>1433</v>
      </c>
    </row>
    <row r="137">
      <c r="A137" t="inlineStr">
        <is>
          <t>3-CHLOROPROPENE</t>
        </is>
      </c>
      <c r="B137" t="inlineStr">
        <is>
          <t>107-05-1</t>
        </is>
      </c>
      <c r="C137" s="1" t="n">
        <v>2065</v>
      </c>
      <c r="E137">
        <f>IFERROR(IF(_xlfn.XLOOKUP(#REF!, Tableau5[Code sandre], Tableau5[Code sandre],, 0) &lt;&gt; "", 1, ""), "")</f>
        <v/>
      </c>
      <c r="N137" s="8" t="n">
        <v>1161</v>
      </c>
    </row>
    <row r="138">
      <c r="A138" t="inlineStr">
        <is>
          <t>3-HYDROXYCARBOFURAN</t>
        </is>
      </c>
      <c r="B138" t="inlineStr">
        <is>
          <t>16655-82-6</t>
        </is>
      </c>
      <c r="C138" s="1" t="n">
        <v>1805</v>
      </c>
      <c r="D138" t="inlineStr">
        <is>
          <t>BMG</t>
        </is>
      </c>
      <c r="E138">
        <f>IFERROR(IF(_xlfn.XLOOKUP(#REF!, Tableau5[Code sandre], Tableau5[Code sandre],, 0) &lt;&gt; "", 1, ""), "")</f>
        <v/>
      </c>
      <c r="N138" s="8" t="n">
        <v>1350</v>
      </c>
    </row>
    <row r="139">
      <c r="A139" t="inlineStr">
        <is>
          <t>3-IODO-2-PROPYNYLN-BUTYL_CARBAMATE</t>
        </is>
      </c>
      <c r="B139" t="inlineStr">
        <is>
          <t>55406-53-6</t>
        </is>
      </c>
      <c r="C139" s="1" t="n">
        <v>2741</v>
      </c>
      <c r="D139" t="inlineStr">
        <is>
          <t>SHYD</t>
        </is>
      </c>
      <c r="E139">
        <f>IFERROR(IF(_xlfn.XLOOKUP(#REF!, Tableau5[Code sandre], Tableau5[Code sandre],, 0) &lt;&gt; "", 1, ""), "")</f>
        <v/>
      </c>
      <c r="N139" s="8" t="n">
        <v>6396</v>
      </c>
    </row>
    <row r="140">
      <c r="A140" t="inlineStr">
        <is>
          <t>3-METHYL_PHENOL</t>
        </is>
      </c>
      <c r="B140" t="inlineStr">
        <is>
          <t>108-39-4</t>
        </is>
      </c>
      <c r="C140" s="1" t="n">
        <v>1639</v>
      </c>
      <c r="D140" t="inlineStr">
        <is>
          <t>A2H</t>
        </is>
      </c>
      <c r="E140">
        <f>IFERROR(IF(_xlfn.XLOOKUP(#REF!, Tableau5[Code sandre], Tableau5[Code sandre],, 0) &lt;&gt; "", 1, ""), "")</f>
        <v/>
      </c>
      <c r="N140" s="8" t="n">
        <v>1517</v>
      </c>
    </row>
    <row r="141">
      <c r="A141" t="inlineStr">
        <is>
          <t>3-METHYLPHENOL_ST</t>
        </is>
      </c>
      <c r="B141" t="inlineStr">
        <is>
          <t>108-39-4</t>
        </is>
      </c>
      <c r="C141" s="1" t="n">
        <v>1639</v>
      </c>
      <c r="E141">
        <f>IFERROR(IF(_xlfn.XLOOKUP(#REF!, Tableau5[Code sandre], Tableau5[Code sandre],, 0) &lt;&gt; "", 1, ""), "")</f>
        <v/>
      </c>
      <c r="N141" s="8" t="n">
        <v>1337</v>
      </c>
    </row>
    <row r="142">
      <c r="A142" t="inlineStr">
        <is>
          <t>4,4-DDT</t>
        </is>
      </c>
      <c r="B142" t="inlineStr">
        <is>
          <t>50-29-3</t>
        </is>
      </c>
      <c r="C142" s="1" t="n">
        <v>1148</v>
      </c>
      <c r="E142">
        <f>IFERROR(IF(_xlfn.XLOOKUP(#REF!, Tableau5[Code sandre], Tableau5[Code sandre],, 0) &lt;&gt; "", 1, ""), "")</f>
        <v/>
      </c>
      <c r="N142" s="8" t="n">
        <v>1517</v>
      </c>
    </row>
    <row r="143">
      <c r="A143" t="inlineStr">
        <is>
          <t>4:2 FTS</t>
        </is>
      </c>
      <c r="B143" t="inlineStr">
        <is>
          <t>757124-72-4</t>
        </is>
      </c>
      <c r="C143" s="1" t="n">
        <v>7945</v>
      </c>
      <c r="E143">
        <f>IFERROR(IF(_xlfn.XLOOKUP(#REF!, Tableau5[Code sandre], Tableau5[Code sandre],, 0) &lt;&gt; "", 1, ""), "")</f>
        <v/>
      </c>
      <c r="N143" s="8" t="n">
        <v>5356</v>
      </c>
    </row>
    <row r="144">
      <c r="A144" t="inlineStr">
        <is>
          <t>4_AMINO_BIPHENYLE</t>
        </is>
      </c>
      <c r="B144" t="inlineStr">
        <is>
          <t>92-67-1</t>
        </is>
      </c>
      <c r="C144" s="1" t="n">
        <v>6692</v>
      </c>
      <c r="E144">
        <f>IFERROR(IF(_xlfn.XLOOKUP(#REF!, Tableau5[Code sandre], Tableau5[Code sandre],, 0) &lt;&gt; "", 1, ""), "")</f>
        <v/>
      </c>
      <c r="N144" s="8" t="n">
        <v>1396</v>
      </c>
    </row>
    <row r="145">
      <c r="A145" t="inlineStr">
        <is>
          <t>4_CHLORO_2_METHYLPHENOL</t>
        </is>
      </c>
      <c r="B145" t="inlineStr">
        <is>
          <t>1570-64-5</t>
        </is>
      </c>
      <c r="C145" s="1" t="n">
        <v>1634</v>
      </c>
      <c r="E145">
        <f>IFERROR(IF(_xlfn.XLOOKUP(#REF!, Tableau5[Code sandre], Tableau5[Code sandre],, 0) &lt;&gt; "", 1, ""), "")</f>
        <v/>
      </c>
      <c r="N145" s="8" t="n">
        <v>1440</v>
      </c>
    </row>
    <row r="146">
      <c r="A146" t="inlineStr">
        <is>
          <t>4_CHLORO_3_METHYLPHENOL</t>
        </is>
      </c>
      <c r="B146" t="inlineStr">
        <is>
          <t>59-50-7</t>
        </is>
      </c>
      <c r="C146" s="1" t="n">
        <v>1636</v>
      </c>
      <c r="E146">
        <f>IFERROR(IF(_xlfn.XLOOKUP(#REF!, Tableau5[Code sandre], Tableau5[Code sandre],, 0) &lt;&gt; "", 1, ""), "")</f>
        <v/>
      </c>
      <c r="N146" s="8" t="n">
        <v>1361</v>
      </c>
    </row>
    <row r="147">
      <c r="A147" t="inlineStr">
        <is>
          <t>44'DDD_ST</t>
        </is>
      </c>
      <c r="B147" t="inlineStr">
        <is>
          <t>72-54-8</t>
        </is>
      </c>
      <c r="C147" s="1" t="n">
        <v>1144</v>
      </c>
      <c r="E147">
        <f>IFERROR(IF(_xlfn.XLOOKUP(#REF!, Tableau5[Code sandre], Tableau5[Code sandre],, 0) &lt;&gt; "", 1, ""), "")</f>
        <v/>
      </c>
      <c r="N147" s="8" t="n">
        <v>1537</v>
      </c>
    </row>
    <row r="148">
      <c r="A148" t="inlineStr">
        <is>
          <t>44-OXYDIANILINE</t>
        </is>
      </c>
      <c r="B148" t="inlineStr">
        <is>
          <t xml:space="preserve">101-80-4 </t>
        </is>
      </c>
      <c r="C148" s="1" t="n">
        <v>6641</v>
      </c>
      <c r="D148" t="inlineStr">
        <is>
          <t>13DCPYC</t>
        </is>
      </c>
      <c r="E148">
        <f>IFERROR(IF(_xlfn.XLOOKUP(#REF!, Tableau5[Code sandre], Tableau5[Code sandre],, 0) &lt;&gt; "", 1, ""), "")</f>
        <v/>
      </c>
      <c r="N148" s="8" t="n">
        <v>1379</v>
      </c>
    </row>
    <row r="149">
      <c r="A149" t="inlineStr">
        <is>
          <t>46-DINITRO_O-CRESOL</t>
        </is>
      </c>
      <c r="B149" t="inlineStr">
        <is>
          <t>534-52-1</t>
        </is>
      </c>
      <c r="C149" s="1" t="n">
        <v>1490</v>
      </c>
      <c r="D149" t="inlineStr">
        <is>
          <t>13DCPYT</t>
        </is>
      </c>
      <c r="E149">
        <f>IFERROR(IF(_xlfn.XLOOKUP(#REF!, Tableau5[Code sandre], Tableau5[Code sandre],, 0) &lt;&gt; "", 1, ""), "")</f>
        <v/>
      </c>
      <c r="N149" s="8" t="n">
        <v>1339</v>
      </c>
    </row>
    <row r="150">
      <c r="A150" t="inlineStr">
        <is>
          <t>4-AMINO_26-DINITROTOLUENE</t>
        </is>
      </c>
      <c r="B150" t="inlineStr">
        <is>
          <t>19406-51-0</t>
        </is>
      </c>
      <c r="C150" s="1" t="n">
        <v>6205</v>
      </c>
      <c r="E150">
        <f>IFERROR(IF(_xlfn.XLOOKUP(#REF!, Tableau5[Code sandre], Tableau5[Code sandre],, 0) &lt;&gt; "", 1, ""), "")</f>
        <v/>
      </c>
      <c r="N150" s="8" t="n">
        <v>7007</v>
      </c>
    </row>
    <row r="151">
      <c r="A151" t="inlineStr">
        <is>
          <t>4-CHLORO_2-METHYLANILINE</t>
        </is>
      </c>
      <c r="B151" t="inlineStr">
        <is>
          <t>95-69-2</t>
        </is>
      </c>
      <c r="C151" s="1" t="n">
        <v>2821</v>
      </c>
      <c r="E151">
        <f>IFERROR(IF(_xlfn.XLOOKUP(#REF!, Tableau5[Code sandre], Tableau5[Code sandre],, 0) &lt;&gt; "", 1, ""), "")</f>
        <v/>
      </c>
      <c r="N151" s="8" t="n">
        <v>1753</v>
      </c>
    </row>
    <row r="152">
      <c r="A152" t="inlineStr">
        <is>
          <t>4-CHLORO3-METHYLPHENOL</t>
        </is>
      </c>
      <c r="B152" t="inlineStr">
        <is>
          <t>59-50-7</t>
        </is>
      </c>
      <c r="C152" s="1" t="n">
        <v>1636</v>
      </c>
      <c r="E152">
        <f>IFERROR(IF(_xlfn.XLOOKUP(#REF!, Tableau5[Code sandre], Tableau5[Code sandre],, 0) &lt;&gt; "", 1, ""), "")</f>
        <v/>
      </c>
      <c r="N152" s="8" t="n">
        <v>1375</v>
      </c>
    </row>
    <row r="153">
      <c r="A153" t="inlineStr">
        <is>
          <t>4-CHLOROPHENOL</t>
        </is>
      </c>
      <c r="B153" t="inlineStr">
        <is>
          <t>106-48-9</t>
        </is>
      </c>
      <c r="C153" s="1" t="n">
        <v>1650</v>
      </c>
      <c r="D153" t="inlineStr">
        <is>
          <t>BROMADI</t>
        </is>
      </c>
      <c r="E153">
        <f>IFERROR(IF(_xlfn.XLOOKUP(#REF!, Tableau5[Code sandre], Tableau5[Code sandre],, 0) &lt;&gt; "", 1, ""), "")</f>
        <v/>
      </c>
      <c r="N153" s="8" t="n">
        <v>1313</v>
      </c>
    </row>
    <row r="154">
      <c r="A154" t="inlineStr">
        <is>
          <t>4-CHLOROTOLUENE</t>
        </is>
      </c>
      <c r="B154" t="inlineStr">
        <is>
          <t>106-43-4</t>
        </is>
      </c>
      <c r="C154" s="1" t="n">
        <v>1600</v>
      </c>
      <c r="E154">
        <f>IFERROR(IF(_xlfn.XLOOKUP(#REF!, Tableau5[Code sandre], Tableau5[Code sandre],, 0) &lt;&gt; "", 1, ""), "")</f>
        <v/>
      </c>
      <c r="N154" s="8" t="n">
        <v>1303</v>
      </c>
    </row>
    <row r="155">
      <c r="A155" t="inlineStr">
        <is>
          <t>4-HYDROXYDICLOFENAC</t>
        </is>
      </c>
      <c r="B155" t="inlineStr">
        <is>
          <t>64118-84-9</t>
        </is>
      </c>
      <c r="C155" s="1" t="n">
        <v>8821</v>
      </c>
      <c r="D155" t="inlineStr">
        <is>
          <t>BMUCON</t>
        </is>
      </c>
      <c r="E155">
        <f>IFERROR(IF(_xlfn.XLOOKUP(#REF!, Tableau5[Code sandre], Tableau5[Code sandre],, 0) &lt;&gt; "", 1, ""), "")</f>
        <v/>
      </c>
      <c r="N155" s="8" t="n">
        <v>1168</v>
      </c>
    </row>
    <row r="156">
      <c r="A156" t="inlineStr">
        <is>
          <t>4-ISOPROPYLANILINE</t>
        </is>
      </c>
      <c r="B156" t="inlineStr">
        <is>
          <t>99-88-7</t>
        </is>
      </c>
      <c r="C156" s="1" t="n">
        <v>1932</v>
      </c>
      <c r="E156">
        <f>IFERROR(IF(_xlfn.XLOOKUP(#REF!, Tableau5[Code sandre], Tableau5[Code sandre],, 0) &lt;&gt; "", 1, ""), "")</f>
        <v/>
      </c>
      <c r="N156" s="8" t="n">
        <v>1678</v>
      </c>
    </row>
    <row r="157">
      <c r="A157" t="inlineStr">
        <is>
          <t>4-METHYL_PHENOL</t>
        </is>
      </c>
      <c r="B157" t="inlineStr">
        <is>
          <t>106-44-5</t>
        </is>
      </c>
      <c r="C157" s="1" t="n">
        <v>1638</v>
      </c>
      <c r="D157" t="inlineStr">
        <is>
          <t>ACETOCH</t>
        </is>
      </c>
      <c r="E157">
        <f>IFERROR(IF(_xlfn.XLOOKUP(#REF!, Tableau5[Code sandre], Tableau5[Code sandre],, 0) &lt;&gt; "", 1, ""), "")</f>
        <v/>
      </c>
      <c r="N157" s="8" t="n">
        <v>1907</v>
      </c>
    </row>
    <row r="158">
      <c r="A158" t="inlineStr">
        <is>
          <t>4-NITROTOLUENE</t>
        </is>
      </c>
      <c r="B158" t="inlineStr">
        <is>
          <t>99-99-0</t>
        </is>
      </c>
      <c r="C158" s="1" t="n">
        <v>5821</v>
      </c>
      <c r="E158">
        <f>IFERROR(IF(_xlfn.XLOOKUP(#REF!, Tableau5[Code sandre], Tableau5[Code sandre],, 0) &lt;&gt; "", 1, ""), "")</f>
        <v/>
      </c>
      <c r="N158" s="8" t="n">
        <v>1246</v>
      </c>
    </row>
    <row r="159">
      <c r="A159" t="inlineStr">
        <is>
          <t>4-N-NONYLPHENOL</t>
        </is>
      </c>
      <c r="B159" t="inlineStr">
        <is>
          <t>104-40-5</t>
        </is>
      </c>
      <c r="C159" s="1" t="n">
        <v>5474</v>
      </c>
      <c r="E159">
        <f>IFERROR(IF(_xlfn.XLOOKUP(#REF!, Tableau5[Code sandre], Tableau5[Code sandre],, 0) &lt;&gt; "", 1, ""), "")</f>
        <v/>
      </c>
      <c r="N159" s="8" t="n">
        <v>1390</v>
      </c>
    </row>
    <row r="160">
      <c r="A160" t="inlineStr">
        <is>
          <t>4-N-NONYLPHENOL_CAS_104-40-5</t>
        </is>
      </c>
      <c r="B160" t="inlineStr">
        <is>
          <t>104-40-5</t>
        </is>
      </c>
      <c r="C160" s="1" t="n">
        <v>5474</v>
      </c>
      <c r="E160">
        <f>IFERROR(IF(_xlfn.XLOOKUP(#REF!, Tableau5[Code sandre], Tableau5[Code sandre],, 0) &lt;&gt; "", 1, ""), "")</f>
        <v/>
      </c>
      <c r="N160" s="8" t="n">
        <v>1374</v>
      </c>
    </row>
    <row r="161">
      <c r="A161" s="9" t="inlineStr">
        <is>
          <t>NP2EO_CAS_20427-84-3_156609-10-8</t>
        </is>
      </c>
      <c r="C161" s="1" t="n">
        <v>6369</v>
      </c>
      <c r="E161">
        <f>IFERROR(IF(_xlfn.XLOOKUP(#REF!, Tableau5[Code sandre], Tableau5[Code sandre],, 0) &lt;&gt; "", 1, ""), "")</f>
        <v/>
      </c>
      <c r="N161" s="8" t="n">
        <v>1160</v>
      </c>
    </row>
    <row r="162">
      <c r="A162" t="inlineStr">
        <is>
          <t>4-NONYLPHENOLS_CAS_84852-15-3</t>
        </is>
      </c>
      <c r="B162" t="inlineStr">
        <is>
          <t>84852-15-3</t>
        </is>
      </c>
      <c r="C162" s="1" t="n">
        <v>1958</v>
      </c>
      <c r="D162" t="inlineStr">
        <is>
          <t>AMPA</t>
        </is>
      </c>
      <c r="E162">
        <f>IFERROR(IF(_xlfn.XLOOKUP(#REF!, Tableau5[Code sandre], Tableau5[Code sandre],, 0) &lt;&gt; "", 1, ""), "")</f>
        <v/>
      </c>
      <c r="N162" s="8" t="n">
        <v>1136</v>
      </c>
    </row>
    <row r="163">
      <c r="A163" t="inlineStr">
        <is>
          <t>4-OCTYLPHENOL_CAS_1806-26-4</t>
        </is>
      </c>
      <c r="B163" t="inlineStr">
        <is>
          <t>1806-26-4</t>
        </is>
      </c>
      <c r="C163" s="1" t="n">
        <v>1920</v>
      </c>
      <c r="D163" t="inlineStr">
        <is>
          <t>AMPA</t>
        </is>
      </c>
      <c r="E163">
        <f>IFERROR(IF(_xlfn.XLOOKUP(#REF!, Tableau5[Code sandre], Tableau5[Code sandre],, 0) &lt;&gt; "", 1, ""), "")</f>
        <v/>
      </c>
      <c r="N163" s="8" t="n">
        <v>1497</v>
      </c>
    </row>
    <row r="164">
      <c r="A164" t="inlineStr">
        <is>
          <t>4-TERT-BUTYLPHENOL_CAS_98-54-4</t>
        </is>
      </c>
      <c r="B164" t="inlineStr">
        <is>
          <t>98-54-4</t>
        </is>
      </c>
      <c r="C164" s="1" t="n">
        <v>2610</v>
      </c>
      <c r="E164">
        <f>IFERROR(IF(_xlfn.XLOOKUP(#REF!, Tableau5[Code sandre], Tableau5[Code sandre],, 0) &lt;&gt; "", 1, ""), "")</f>
        <v/>
      </c>
      <c r="N164" s="8" t="n">
        <v>1319</v>
      </c>
    </row>
    <row r="165">
      <c r="A165" t="inlineStr">
        <is>
          <t>4-TERT-OCTYLPHENOL_CAS_140-66-9</t>
        </is>
      </c>
      <c r="B165" t="inlineStr">
        <is>
          <t>140-66-9</t>
        </is>
      </c>
      <c r="C165" s="1" t="n">
        <v>1959</v>
      </c>
      <c r="D165" t="inlineStr">
        <is>
          <t>DCPMU</t>
        </is>
      </c>
      <c r="E165">
        <f>IFERROR(IF(_xlfn.XLOOKUP(#REF!, Tableau5[Code sandre], Tableau5[Code sandre],, 0) &lt;&gt; "", 1, ""), "")</f>
        <v/>
      </c>
      <c r="N165" s="8" t="n">
        <v>5349</v>
      </c>
    </row>
    <row r="166">
      <c r="A166" t="inlineStr">
        <is>
          <t>5:3 FTCA</t>
        </is>
      </c>
      <c r="B166" t="inlineStr">
        <is>
          <t>914637-49-3</t>
        </is>
      </c>
      <c r="C166" s="1" t="n">
        <v>7951</v>
      </c>
      <c r="E166">
        <f>IFERROR(IF(_xlfn.XLOOKUP(#REF!, Tableau5[Code sandre], Tableau5[Code sandre],, 0) &lt;&gt; "", 1, ""), "")</f>
        <v/>
      </c>
      <c r="N166" s="8" t="n">
        <v>1456</v>
      </c>
    </row>
    <row r="167">
      <c r="A167" t="inlineStr">
        <is>
          <t>5-CHLORO_2-METHYL_4-ISOTHIAZOLINE3-ONE</t>
        </is>
      </c>
      <c r="B167" t="inlineStr">
        <is>
          <t>26172-55-4</t>
        </is>
      </c>
      <c r="C167" s="1" t="n">
        <v>8252</v>
      </c>
      <c r="D167" t="inlineStr">
        <is>
          <t>DCPU</t>
        </is>
      </c>
      <c r="E167">
        <f>IFERROR(IF(_xlfn.XLOOKUP(#REF!, Tableau5[Code sandre], Tableau5[Code sandre],, 0) &lt;&gt; "", 1, ""), "")</f>
        <v/>
      </c>
      <c r="N167" s="8" t="n">
        <v>1476</v>
      </c>
    </row>
    <row r="168">
      <c r="A168" t="inlineStr">
        <is>
          <t>5CL_2METHYL_4ISOTHIAZOLINE_3ONE</t>
        </is>
      </c>
      <c r="B168" t="inlineStr">
        <is>
          <t>26172-55-4</t>
        </is>
      </c>
      <c r="C168" s="1" t="n">
        <v>8252</v>
      </c>
      <c r="E168">
        <f>IFERROR(IF(_xlfn.XLOOKUP(#REF!, Tableau5[Code sandre], Tableau5[Code sandre],, 0) &lt;&gt; "", 1, ""), "")</f>
        <v/>
      </c>
      <c r="N168" s="8" t="n">
        <v>1295</v>
      </c>
    </row>
    <row r="169">
      <c r="A169" t="inlineStr">
        <is>
          <t>6:2 FHUEA</t>
        </is>
      </c>
      <c r="B169" t="inlineStr">
        <is>
          <t>70887-88-6</t>
        </is>
      </c>
      <c r="C169" s="1" t="n">
        <v>7698</v>
      </c>
      <c r="E169">
        <f>IFERROR(IF(_xlfn.XLOOKUP(#REF!, Tableau5[Code sandre], Tableau5[Code sandre],, 0) &lt;&gt; "", 1, ""), "")</f>
        <v/>
      </c>
      <c r="N169" s="8" t="n">
        <v>1380</v>
      </c>
    </row>
    <row r="170">
      <c r="A170" t="inlineStr">
        <is>
          <t>6:2 FTCA</t>
        </is>
      </c>
      <c r="B170" t="inlineStr">
        <is>
          <t>53826-12-3</t>
        </is>
      </c>
      <c r="C170" s="1" t="n">
        <v>7967</v>
      </c>
      <c r="E170">
        <f>IFERROR(IF(_xlfn.XLOOKUP(#REF!, Tableau5[Code sandre], Tableau5[Code sandre],, 0) &lt;&gt; "", 1, ""), "")</f>
        <v/>
      </c>
      <c r="N170" s="8" t="n">
        <v>1082</v>
      </c>
    </row>
    <row r="171">
      <c r="A171" t="inlineStr">
        <is>
          <t>6_2_FTAB</t>
        </is>
      </c>
      <c r="B171" t="inlineStr">
        <is>
          <t>34455-29-3</t>
        </is>
      </c>
      <c r="C171" s="1" t="n">
        <v>7991</v>
      </c>
      <c r="E171">
        <f>IFERROR(IF(_xlfn.XLOOKUP(#REF!, Tableau5[Code sandre], Tableau5[Code sandre],, 0) &lt;&gt; "", 1, ""), "")</f>
        <v/>
      </c>
      <c r="N171" s="8" t="n">
        <v>1338</v>
      </c>
    </row>
    <row r="172">
      <c r="A172" t="inlineStr">
        <is>
          <t>6_2FTAB_ST</t>
        </is>
      </c>
      <c r="B172" t="inlineStr">
        <is>
          <t>34455-29-3</t>
        </is>
      </c>
      <c r="C172" s="1" t="n">
        <v>7991</v>
      </c>
      <c r="E172">
        <f>IFERROR(IF(_xlfn.XLOOKUP(#REF!, Tableau5[Code sandre], Tableau5[Code sandre],, 0) &lt;&gt; "", 1, ""), "")</f>
        <v/>
      </c>
      <c r="N172" s="8" t="n">
        <v>1350</v>
      </c>
    </row>
    <row r="173">
      <c r="A173" t="inlineStr">
        <is>
          <t>6-2_FTS</t>
        </is>
      </c>
      <c r="C173" t="n">
        <v>7893</v>
      </c>
      <c r="E173">
        <f>IFERROR(IF(_xlfn.XLOOKUP(#REF!, Tableau5[Code sandre], Tableau5[Code sandre],, 0) &lt;&gt; "", 1, ""), "")</f>
        <v/>
      </c>
      <c r="N173" s="8" t="n">
        <v>1666</v>
      </c>
    </row>
    <row r="174">
      <c r="A174" t="inlineStr">
        <is>
          <t>62-FTOH</t>
        </is>
      </c>
      <c r="B174" t="inlineStr">
        <is>
          <t>647-42-7</t>
        </is>
      </c>
      <c r="C174" s="1" t="n">
        <v>7997</v>
      </c>
      <c r="E174">
        <f>IFERROR(IF(_xlfn.XLOOKUP(#REF!, Tableau5[Code sandre], Tableau5[Code sandre],, 0) &lt;&gt; "", 1, ""), "")</f>
        <v/>
      </c>
      <c r="N174" s="8" t="n">
        <v>1283</v>
      </c>
    </row>
    <row r="175">
      <c r="A175" t="inlineStr">
        <is>
          <t>7:3 FTCA</t>
        </is>
      </c>
      <c r="B175" t="inlineStr">
        <is>
          <t>812-70-4</t>
        </is>
      </c>
      <c r="C175" s="1" t="n">
        <v>9171</v>
      </c>
      <c r="E175">
        <f>IFERROR(IF(_xlfn.XLOOKUP(#REF!, Tableau5[Code sandre], Tableau5[Code sandre],, 0) &lt;&gt; "", 1, ""), "")</f>
        <v/>
      </c>
      <c r="N175" s="8" t="n">
        <v>1339</v>
      </c>
    </row>
    <row r="176">
      <c r="A176" t="inlineStr">
        <is>
          <t>8:2 FTUCA</t>
        </is>
      </c>
      <c r="B176" t="inlineStr">
        <is>
          <t>70887-84-2</t>
        </is>
      </c>
      <c r="C176" s="1" t="n">
        <v>7970</v>
      </c>
      <c r="E176">
        <f>IFERROR(IF(_xlfn.XLOOKUP(#REF!, Tableau5[Code sandre], Tableau5[Code sandre],, 0) &lt;&gt; "", 1, ""), "")</f>
        <v/>
      </c>
      <c r="N176" s="8" t="n">
        <v>1114</v>
      </c>
    </row>
    <row r="177">
      <c r="A177" t="inlineStr">
        <is>
          <t>82-FTOH</t>
        </is>
      </c>
      <c r="B177" t="inlineStr">
        <is>
          <t>678-39-7</t>
        </is>
      </c>
      <c r="C177" s="1" t="n">
        <v>8000</v>
      </c>
      <c r="E177">
        <f>IFERROR(IF(_xlfn.XLOOKUP(#REF!, Tableau5[Code sandre], Tableau5[Code sandre],, 0) &lt;&gt; "", 1, ""), "")</f>
        <v/>
      </c>
      <c r="N177" s="8" t="n">
        <v>1621</v>
      </c>
    </row>
    <row r="178">
      <c r="A178" t="inlineStr">
        <is>
          <t>9Cl-PF3ONS</t>
        </is>
      </c>
      <c r="B178" t="inlineStr">
        <is>
          <t>756426-58-1</t>
        </is>
      </c>
      <c r="C178" s="1" t="n">
        <v>9111</v>
      </c>
      <c r="E178">
        <f>IFERROR(IF(_xlfn.XLOOKUP(#REF!, Tableau5[Code sandre], Tableau5[Code sandre],, 0) &lt;&gt; "", 1, ""), "")</f>
        <v/>
      </c>
      <c r="N178" s="8" t="n">
        <v>1114</v>
      </c>
    </row>
    <row r="179">
      <c r="A179" t="inlineStr">
        <is>
          <t>ABAMECTINE</t>
        </is>
      </c>
      <c r="B179" t="inlineStr">
        <is>
          <t>71751-41-2</t>
        </is>
      </c>
      <c r="C179" s="1" t="n">
        <v>2007</v>
      </c>
      <c r="E179">
        <f>IFERROR(IF(_xlfn.XLOOKUP(#REF!, Tableau5[Code sandre], Tableau5[Code sandre],, 0) &lt;&gt; "", 1, ""), "")</f>
        <v/>
      </c>
      <c r="N179" s="8" t="n">
        <v>1327</v>
      </c>
    </row>
    <row r="180">
      <c r="A180" t="inlineStr">
        <is>
          <t>ACENAPHTENE</t>
        </is>
      </c>
      <c r="B180" t="inlineStr">
        <is>
          <t>83-32-9</t>
        </is>
      </c>
      <c r="C180" s="1" t="n">
        <v>1453</v>
      </c>
      <c r="E180">
        <f>IFERROR(IF(_xlfn.XLOOKUP(#REF!, Tableau5[Code sandre], Tableau5[Code sandre],, 0) &lt;&gt; "", 1, ""), "")</f>
        <v/>
      </c>
      <c r="N180" s="8" t="n">
        <v>1135</v>
      </c>
    </row>
    <row r="181">
      <c r="A181" t="inlineStr">
        <is>
          <t>ACENAPHTENE_ST</t>
        </is>
      </c>
      <c r="B181" t="inlineStr">
        <is>
          <t>83-32-9</t>
        </is>
      </c>
      <c r="C181" s="1" t="n">
        <v>1453</v>
      </c>
      <c r="E181">
        <f>IFERROR(IF(_xlfn.XLOOKUP(#REF!, Tableau5[Code sandre], Tableau5[Code sandre],, 0) &lt;&gt; "", 1, ""), "")</f>
        <v/>
      </c>
      <c r="N181" s="8" t="n">
        <v>1191</v>
      </c>
    </row>
    <row r="182">
      <c r="A182" t="inlineStr">
        <is>
          <t>ACENAPHTYLENE</t>
        </is>
      </c>
      <c r="B182" t="inlineStr">
        <is>
          <t>208-96-8</t>
        </is>
      </c>
      <c r="C182" s="1" t="n">
        <v>1622</v>
      </c>
      <c r="D182" t="inlineStr">
        <is>
          <t>BRXYOC</t>
        </is>
      </c>
      <c r="E182">
        <f>IFERROR(IF(_xlfn.XLOOKUP(#REF!, Tableau5[Code sandre], Tableau5[Code sandre],, 0) &lt;&gt; "", 1, ""), "")</f>
        <v/>
      </c>
      <c r="N182" s="8" t="n">
        <v>1200</v>
      </c>
    </row>
    <row r="183">
      <c r="A183" t="inlineStr">
        <is>
          <t>ACENAPHTYLENE_ST</t>
        </is>
      </c>
      <c r="B183" t="inlineStr">
        <is>
          <t>208-96-8</t>
        </is>
      </c>
      <c r="C183" s="1" t="n">
        <v>1622</v>
      </c>
      <c r="E183">
        <f>IFERROR(IF(_xlfn.XLOOKUP(#REF!, Tableau5[Code sandre], Tableau5[Code sandre],, 0) &lt;&gt; "", 1, ""), "")</f>
        <v/>
      </c>
      <c r="N183" s="8" t="n">
        <v>1311</v>
      </c>
    </row>
    <row r="184">
      <c r="A184" t="inlineStr">
        <is>
          <t>ACESULFAME_ST</t>
        </is>
      </c>
      <c r="B184" t="inlineStr">
        <is>
          <t>55589-62-3</t>
        </is>
      </c>
      <c r="C184" s="1" t="n">
        <v>7892</v>
      </c>
      <c r="E184">
        <f>IFERROR(IF(_xlfn.XLOOKUP(#REF!, Tableau5[Code sandre], Tableau5[Code sandre],, 0) &lt;&gt; "", 1, ""), "")</f>
        <v/>
      </c>
      <c r="N184" s="8" t="n">
        <v>1340</v>
      </c>
    </row>
    <row r="185">
      <c r="A185" t="inlineStr">
        <is>
          <t>ACETALDEHYDE</t>
        </is>
      </c>
      <c r="B185" t="inlineStr">
        <is>
          <t>75-07-0</t>
        </is>
      </c>
      <c r="C185" s="1" t="n">
        <v>1454</v>
      </c>
      <c r="D185" t="inlineStr">
        <is>
          <t>AZOXYST</t>
        </is>
      </c>
      <c r="E185">
        <f>IFERROR(IF(_xlfn.XLOOKUP(#REF!, Tableau5[Code sandre], Tableau5[Code sandre],, 0) &lt;&gt; "", 1, ""), "")</f>
        <v/>
      </c>
      <c r="N185" s="8" t="n">
        <v>1727</v>
      </c>
    </row>
    <row r="186">
      <c r="A186" t="inlineStr">
        <is>
          <t>ACETALDEHYDE_ST</t>
        </is>
      </c>
      <c r="B186" t="inlineStr">
        <is>
          <t>75-07-0</t>
        </is>
      </c>
      <c r="C186" s="1" t="n">
        <v>1454</v>
      </c>
      <c r="E186">
        <f>IFERROR(IF(_xlfn.XLOOKUP(#REF!, Tableau5[Code sandre], Tableau5[Code sandre],, 0) &lt;&gt; "", 1, ""), "")</f>
        <v/>
      </c>
      <c r="N186" s="8" t="n">
        <v>1388</v>
      </c>
    </row>
    <row r="187">
      <c r="A187" t="inlineStr">
        <is>
          <t>ACETAMIPRIDE</t>
        </is>
      </c>
      <c r="B187" t="inlineStr">
        <is>
          <t>135410-20-7</t>
        </is>
      </c>
      <c r="C187" s="1" t="n">
        <v>5579</v>
      </c>
      <c r="E187">
        <f>IFERROR(IF(_xlfn.XLOOKUP(#REF!, Tableau5[Code sandre], Tableau5[Code sandre],, 0) &lt;&gt; "", 1, ""), "")</f>
        <v/>
      </c>
      <c r="N187" s="8" t="n">
        <v>1319</v>
      </c>
    </row>
    <row r="188">
      <c r="A188" t="inlineStr">
        <is>
          <t>ACETATE_DE_BUTYLE</t>
        </is>
      </c>
      <c r="B188" t="inlineStr">
        <is>
          <t>123-86-4</t>
        </is>
      </c>
      <c r="C188" s="1" t="n">
        <v>2711</v>
      </c>
      <c r="D188" t="inlineStr">
        <is>
          <t>TBZH</t>
        </is>
      </c>
      <c r="E188">
        <f>IFERROR(IF(_xlfn.XLOOKUP(#REF!, Tableau5[Code sandre], Tableau5[Code sandre],, 0) &lt;&gt; "", 1, ""), "")</f>
        <v/>
      </c>
      <c r="N188" s="8" t="n">
        <v>1292</v>
      </c>
    </row>
    <row r="189">
      <c r="A189" t="inlineStr">
        <is>
          <t>ACETATE_DE_METHYLE</t>
        </is>
      </c>
      <c r="B189" t="inlineStr">
        <is>
          <t>79-20-9</t>
        </is>
      </c>
      <c r="C189" s="1" t="n">
        <v>3308</v>
      </c>
      <c r="D189" t="inlineStr">
        <is>
          <t>ALKYL04</t>
        </is>
      </c>
      <c r="E189">
        <f>IFERROR(IF(_xlfn.XLOOKUP(#REF!, Tableau5[Code sandre], Tableau5[Code sandre],, 0) &lt;&gt; "", 1, ""), "")</f>
        <v/>
      </c>
      <c r="N189" s="8" t="n">
        <v>1271</v>
      </c>
    </row>
    <row r="190">
      <c r="A190" t="inlineStr">
        <is>
          <t>ACETATE_DE_VINYLE</t>
        </is>
      </c>
      <c r="B190" t="inlineStr">
        <is>
          <t>108-05-4</t>
        </is>
      </c>
      <c r="C190" s="1" t="n">
        <v>6241</v>
      </c>
      <c r="D190" t="inlineStr">
        <is>
          <t>ALKYL01</t>
        </is>
      </c>
      <c r="E190">
        <f>IFERROR(IF(_xlfn.XLOOKUP(#REF!, Tableau5[Code sandre], Tableau5[Code sandre],, 0) &lt;&gt; "", 1, ""), "")</f>
        <v/>
      </c>
      <c r="N190" s="8" t="n">
        <v>1433</v>
      </c>
    </row>
    <row r="191">
      <c r="A191" t="inlineStr">
        <is>
          <t>ACETATE_ETHYLE</t>
        </is>
      </c>
      <c r="B191" t="inlineStr">
        <is>
          <t>141-78-6</t>
        </is>
      </c>
      <c r="C191" s="1" t="n">
        <v>1496</v>
      </c>
      <c r="D191" t="inlineStr">
        <is>
          <t>AZOXYST</t>
        </is>
      </c>
      <c r="E191">
        <f>IFERROR(IF(_xlfn.XLOOKUP(#REF!, Tableau5[Code sandre], Tableau5[Code sandre],, 0) &lt;&gt; "", 1, ""), "")</f>
        <v/>
      </c>
      <c r="N191" s="8" t="n">
        <v>1752</v>
      </c>
    </row>
    <row r="192">
      <c r="A192" t="inlineStr">
        <is>
          <t>ACETATE_ISOPROPYLE</t>
        </is>
      </c>
      <c r="B192" t="inlineStr">
        <is>
          <t>108-21-4</t>
        </is>
      </c>
      <c r="C192" s="1" t="n">
        <v>2710</v>
      </c>
      <c r="D192" t="inlineStr">
        <is>
          <t>ASULAME</t>
        </is>
      </c>
      <c r="E192">
        <f>IFERROR(IF(_xlfn.XLOOKUP(#REF!, Tableau5[Code sandre], Tableau5[Code sandre],, 0) &lt;&gt; "", 1, ""), "")</f>
        <v/>
      </c>
      <c r="N192" s="8" t="n">
        <v>1244</v>
      </c>
    </row>
    <row r="193">
      <c r="A193" t="inlineStr">
        <is>
          <t>ACETOCHLORE</t>
        </is>
      </c>
      <c r="B193" t="inlineStr">
        <is>
          <t>34256-82-1</t>
        </is>
      </c>
      <c r="C193" s="1" t="n">
        <v>1903</v>
      </c>
      <c r="E193">
        <f>IFERROR(IF(_xlfn.XLOOKUP(#REF!, Tableau5[Code sandre], Tableau5[Code sandre],, 0) &lt;&gt; "", 1, ""), "")</f>
        <v/>
      </c>
      <c r="N193" s="8" t="n">
        <v>1753</v>
      </c>
    </row>
    <row r="194">
      <c r="A194" t="inlineStr">
        <is>
          <t>ACETOCHLORE_ESA</t>
        </is>
      </c>
      <c r="B194" t="inlineStr">
        <is>
          <t>187022-11-3</t>
        </is>
      </c>
      <c r="C194" s="1" t="n">
        <v>6856</v>
      </c>
      <c r="E194">
        <f>IFERROR(IF(_xlfn.XLOOKUP(#REF!, Tableau5[Code sandre], Tableau5[Code sandre],, 0) &lt;&gt; "", 1, ""), "")</f>
        <v/>
      </c>
      <c r="N194" s="8" t="n">
        <v>1158</v>
      </c>
    </row>
    <row r="195">
      <c r="A195" t="inlineStr">
        <is>
          <t>ACETOCHLORE_OXA</t>
        </is>
      </c>
      <c r="B195" t="inlineStr">
        <is>
          <t>194992-44-4</t>
        </is>
      </c>
      <c r="C195" s="1" t="n">
        <v>6862</v>
      </c>
      <c r="E195">
        <f>IFERROR(IF(_xlfn.XLOOKUP(#REF!, Tableau5[Code sandre], Tableau5[Code sandre],, 0) &lt;&gt; "", 1, ""), "")</f>
        <v/>
      </c>
      <c r="N195" s="8" t="n">
        <v>1242</v>
      </c>
    </row>
    <row r="196">
      <c r="A196" t="inlineStr">
        <is>
          <t>ACETOCHLORE_SAA</t>
        </is>
      </c>
      <c r="C196" t="n">
        <v>7718</v>
      </c>
      <c r="E196">
        <f>IFERROR(IF(_xlfn.XLOOKUP(#REF!, Tableau5[Code sandre], Tableau5[Code sandre],, 0) &lt;&gt; "", 1, ""), "")</f>
        <v/>
      </c>
      <c r="N196" s="8" t="n">
        <v>1117</v>
      </c>
    </row>
    <row r="197">
      <c r="A197" t="inlineStr">
        <is>
          <t>ACETOCHLORE-SAA_ST</t>
        </is>
      </c>
      <c r="B197" t="inlineStr">
        <is>
          <t>34256-82-1</t>
        </is>
      </c>
      <c r="C197" s="1" t="n">
        <v>1903</v>
      </c>
      <c r="E197">
        <f>IFERROR(IF(_xlfn.XLOOKUP(#REF!, Tableau5[Code sandre], Tableau5[Code sandre],, 0) &lt;&gt; "", 1, ""), "")</f>
        <v/>
      </c>
      <c r="N197" s="8" t="n">
        <v>1623</v>
      </c>
    </row>
    <row r="198">
      <c r="A198" t="inlineStr">
        <is>
          <t>ACETONE</t>
        </is>
      </c>
      <c r="B198" t="inlineStr">
        <is>
          <t>67-64-1</t>
        </is>
      </c>
      <c r="C198" s="1" t="n">
        <v>1455</v>
      </c>
      <c r="D198" t="inlineStr">
        <is>
          <t>26DCB</t>
        </is>
      </c>
      <c r="E198">
        <f>IFERROR(IF(_xlfn.XLOOKUP(#REF!, Tableau5[Code sandre], Tableau5[Code sandre],, 0) &lt;&gt; "", 1, ""), "")</f>
        <v/>
      </c>
      <c r="N198" s="8" t="n">
        <v>1524</v>
      </c>
    </row>
    <row r="199">
      <c r="A199" t="inlineStr">
        <is>
          <t>ACETONE_ST</t>
        </is>
      </c>
      <c r="C199" s="1" t="n">
        <v>1455</v>
      </c>
      <c r="E199">
        <f>IFERROR(IF(_xlfn.XLOOKUP(#REF!, Tableau5[Code sandre], Tableau5[Code sandre],, 0) &lt;&gt; "", 1, ""), "")</f>
        <v/>
      </c>
      <c r="N199" s="8" t="n">
        <v>1165</v>
      </c>
    </row>
    <row r="200">
      <c r="A200" t="inlineStr">
        <is>
          <t>ACETONITRILE</t>
        </is>
      </c>
      <c r="B200" t="inlineStr">
        <is>
          <t>75-05-8</t>
        </is>
      </c>
      <c r="C200" s="1" t="n">
        <v>5316</v>
      </c>
      <c r="E200">
        <f>IFERROR(IF(_xlfn.XLOOKUP(#REF!, Tableau5[Code sandre], Tableau5[Code sandre],, 0) &lt;&gt; "", 1, ""), "")</f>
        <v/>
      </c>
      <c r="N200" s="8" t="n">
        <v>1367</v>
      </c>
    </row>
    <row r="201">
      <c r="A201" t="inlineStr">
        <is>
          <t>ACIDE_ACETIQUE</t>
        </is>
      </c>
      <c r="B201" t="inlineStr">
        <is>
          <t>64-19-7</t>
        </is>
      </c>
      <c r="C201" s="1" t="n">
        <v>3151</v>
      </c>
      <c r="E201">
        <f>IFERROR(IF(_xlfn.XLOOKUP(#REF!, Tableau5[Code sandre], Tableau5[Code sandre],, 0) &lt;&gt; "", 1, ""), "")</f>
        <v/>
      </c>
      <c r="N201" s="8" t="n">
        <v>1191</v>
      </c>
    </row>
    <row r="202">
      <c r="A202" t="inlineStr">
        <is>
          <t>ACIDE_ACRYLIQUE</t>
        </is>
      </c>
      <c r="B202" t="inlineStr">
        <is>
          <t>79-10-7</t>
        </is>
      </c>
      <c r="C202" s="1" t="n">
        <v>6325</v>
      </c>
      <c r="D202" t="inlineStr">
        <is>
          <t>AMIDOSU</t>
        </is>
      </c>
      <c r="E202">
        <f>IFERROR(IF(_xlfn.XLOOKUP(#REF!, Tableau5[Code sandre], Tableau5[Code sandre],, 0) &lt;&gt; "", 1, ""), "")</f>
        <v/>
      </c>
      <c r="N202" s="8" t="n">
        <v>1630</v>
      </c>
    </row>
    <row r="203">
      <c r="A203" t="inlineStr">
        <is>
          <t>ACIDE_BROMOCHLOROACETIQUE</t>
        </is>
      </c>
      <c r="B203" t="inlineStr">
        <is>
          <t>5589-96-8</t>
        </is>
      </c>
      <c r="C203" s="1" t="n">
        <v>5425</v>
      </c>
      <c r="D203" t="inlineStr">
        <is>
          <t>AMIDOSU</t>
        </is>
      </c>
      <c r="E203">
        <f>IFERROR(IF(_xlfn.XLOOKUP(#REF!, Tableau5[Code sandre], Tableau5[Code sandre],, 0) &lt;&gt; "", 1, ""), "")</f>
        <v/>
      </c>
      <c r="N203" s="10" t="n">
        <v>1278</v>
      </c>
    </row>
    <row r="204">
      <c r="A204" t="inlineStr">
        <is>
          <t>ACIDE_BROMODICHLOROACETIQUE</t>
        </is>
      </c>
      <c r="B204" t="inlineStr">
        <is>
          <t>71133-14-7</t>
        </is>
      </c>
      <c r="C204" s="1" t="n">
        <v>7060</v>
      </c>
      <c r="E204">
        <f>IFERROR(IF(_xlfn.XLOOKUP(#REF!, Tableau5[Code sandre], Tableau5[Code sandre],, 0) &lt;&gt; "", 1, ""), "")</f>
        <v/>
      </c>
    </row>
    <row r="205">
      <c r="A205" t="inlineStr">
        <is>
          <t>ACIDE_BUTURIQUE</t>
        </is>
      </c>
      <c r="B205" t="inlineStr">
        <is>
          <t>107-92-6</t>
        </is>
      </c>
      <c r="C205" s="1" t="n">
        <v>3154</v>
      </c>
      <c r="E205">
        <f>IFERROR(IF(_xlfn.XLOOKUP(#REF!, Tableau5[Code sandre], Tableau5[Code sandre],, 0) &lt;&gt; "", 1, ""), "")</f>
        <v/>
      </c>
    </row>
    <row r="206">
      <c r="A206" t="inlineStr">
        <is>
          <t>ACIDE_BUTYRIQUE</t>
        </is>
      </c>
      <c r="B206" t="inlineStr">
        <is>
          <t>107-92-6</t>
        </is>
      </c>
      <c r="C206" s="1" t="n">
        <v>3154</v>
      </c>
      <c r="D206" t="inlineStr">
        <is>
          <t>ANTHRAQ</t>
        </is>
      </c>
      <c r="E206">
        <f>IFERROR(IF(_xlfn.XLOOKUP(#REF!, Tableau5[Code sandre], Tableau5[Code sandre],, 0) &lt;&gt; "", 1, ""), "")</f>
        <v/>
      </c>
    </row>
    <row r="207">
      <c r="A207" t="inlineStr">
        <is>
          <t>ACIDE_CLOFIBRIQUE</t>
        </is>
      </c>
      <c r="B207" t="inlineStr">
        <is>
          <t>882-09-7</t>
        </is>
      </c>
      <c r="C207" s="1" t="n">
        <v>5408</v>
      </c>
      <c r="D207" t="inlineStr">
        <is>
          <t>ISOCYAN</t>
        </is>
      </c>
      <c r="E207">
        <f>IFERROR(IF(_xlfn.XLOOKUP(#REF!, Tableau5[Code sandre], Tableau5[Code sandre],, 0) &lt;&gt; "", 1, ""), "")</f>
        <v/>
      </c>
    </row>
    <row r="208">
      <c r="A208" t="inlineStr">
        <is>
          <t>ACIDE_DIBROMOACETIQUE</t>
        </is>
      </c>
      <c r="B208" t="inlineStr">
        <is>
          <t>631-64-1</t>
        </is>
      </c>
      <c r="C208" s="1" t="n">
        <v>5426</v>
      </c>
      <c r="E208">
        <f>IFERROR(IF(_xlfn.XLOOKUP(#REF!, Tableau5[Code sandre], Tableau5[Code sandre],, 0) &lt;&gt; "", 1, ""), "")</f>
        <v/>
      </c>
    </row>
    <row r="209">
      <c r="A209" t="inlineStr">
        <is>
          <t>ACIDE_DIBROMOCHLOROACETIQUE</t>
        </is>
      </c>
      <c r="B209" t="inlineStr">
        <is>
          <t>5278-95-5</t>
        </is>
      </c>
      <c r="C209" s="1" t="n">
        <v>7061</v>
      </c>
      <c r="D209" t="inlineStr">
        <is>
          <t>BENOXA</t>
        </is>
      </c>
      <c r="E209">
        <f>IFERROR(IF(_xlfn.XLOOKUP(#REF!, Tableau5[Code sandre], Tableau5[Code sandre],, 0) &lt;&gt; "", 1, ""), "")</f>
        <v/>
      </c>
    </row>
    <row r="210">
      <c r="A210" t="inlineStr">
        <is>
          <t>ACIDE_DICHLOROACETIQUE</t>
        </is>
      </c>
      <c r="B210" t="inlineStr">
        <is>
          <t>79-43-6</t>
        </is>
      </c>
      <c r="C210" s="1" t="n">
        <v>1481</v>
      </c>
      <c r="E210">
        <f>IFERROR(IF(_xlfn.XLOOKUP(#REF!, Tableau5[Code sandre], Tableau5[Code sandre],, 0) &lt;&gt; "", 1, ""), "")</f>
        <v/>
      </c>
    </row>
    <row r="211">
      <c r="A211" t="inlineStr">
        <is>
          <t>ACIDE_FENOFIBRIQUE</t>
        </is>
      </c>
      <c r="B211" t="inlineStr">
        <is>
          <t>42017-89-0</t>
        </is>
      </c>
      <c r="C211" s="1" t="n">
        <v>5369</v>
      </c>
      <c r="E211">
        <f>IFERROR(IF(_xlfn.XLOOKUP(#REF!, Tableau5[Code sandre], Tableau5[Code sandre],, 0) &lt;&gt; "", 1, ""), "")</f>
        <v/>
      </c>
    </row>
    <row r="212">
      <c r="A212" t="inlineStr">
        <is>
          <t>ACIDE_FORMIQUE</t>
        </is>
      </c>
      <c r="B212" t="inlineStr">
        <is>
          <t>64-18-6</t>
        </is>
      </c>
      <c r="C212" s="1" t="n">
        <v>7931</v>
      </c>
      <c r="E212">
        <f>IFERROR(IF(_xlfn.XLOOKUP(#REF!, Tableau5[Code sandre], Tableau5[Code sandre],, 0) &lt;&gt; "", 1, ""), "")</f>
        <v/>
      </c>
    </row>
    <row r="213">
      <c r="A213" t="inlineStr">
        <is>
          <t>ACIDE_ISOBUTYRIQUE</t>
        </is>
      </c>
      <c r="C213" s="1" t="n">
        <v>3153</v>
      </c>
      <c r="D213" t="inlineStr">
        <is>
          <t>TERBP</t>
        </is>
      </c>
      <c r="E213">
        <f>IFERROR(IF(_xlfn.XLOOKUP(#REF!, Tableau5[Code sandre], Tableau5[Code sandre],, 0) &lt;&gt; "", 1, ""), "")</f>
        <v/>
      </c>
    </row>
    <row r="214">
      <c r="A214" t="inlineStr">
        <is>
          <t>ACIDE_ISOCYANURIQUE_IN_SITU</t>
        </is>
      </c>
      <c r="B214" t="inlineStr">
        <is>
          <t>108-80-5</t>
        </is>
      </c>
      <c r="C214" s="1" t="n">
        <v>2055</v>
      </c>
      <c r="E214">
        <f>IFERROR(IF(_xlfn.XLOOKUP(#REF!, Tableau5[Code sandre], Tableau5[Code sandre],, 0) &lt;&gt; "", 1, ""), "")</f>
        <v/>
      </c>
    </row>
    <row r="215">
      <c r="A215" t="inlineStr">
        <is>
          <t>ACIDE_LAURIQUE-C12</t>
        </is>
      </c>
      <c r="B215" t="inlineStr">
        <is>
          <t>143-07-7</t>
        </is>
      </c>
      <c r="C215" s="1" t="n">
        <v>2993</v>
      </c>
      <c r="E215">
        <f>IFERROR(IF(_xlfn.XLOOKUP(#REF!, Tableau5[Code sandre], Tableau5[Code sandre],, 0) &lt;&gt; "", 1, ""), "")</f>
        <v/>
      </c>
    </row>
    <row r="216">
      <c r="A216" t="inlineStr">
        <is>
          <t>ACIDE_LINOLEIQUE-C18-2</t>
        </is>
      </c>
      <c r="B216" t="inlineStr">
        <is>
          <t>60-33-3</t>
        </is>
      </c>
      <c r="C216" s="1" t="n">
        <v>2999</v>
      </c>
      <c r="D216" t="inlineStr">
        <is>
          <t>OESTR03</t>
        </is>
      </c>
      <c r="E216">
        <f>IFERROR(IF(_xlfn.XLOOKUP(#REF!, Tableau5[Code sandre], Tableau5[Code sandre],, 0) &lt;&gt; "", 1, ""), "")</f>
        <v/>
      </c>
    </row>
    <row r="217">
      <c r="A217" t="inlineStr">
        <is>
          <t>ACIDE_LINOLENIQUE-C18-3</t>
        </is>
      </c>
      <c r="B217" t="inlineStr">
        <is>
          <t>60-33-3</t>
        </is>
      </c>
      <c r="C217" s="1" t="n">
        <v>2999</v>
      </c>
      <c r="D217" t="inlineStr">
        <is>
          <t>OESTR02</t>
        </is>
      </c>
      <c r="E217">
        <f>IFERROR(IF(_xlfn.XLOOKUP(#REF!, Tableau5[Code sandre], Tableau5[Code sandre],, 0) &lt;&gt; "", 1, ""), "")</f>
        <v/>
      </c>
    </row>
    <row r="218">
      <c r="A218" t="inlineStr">
        <is>
          <t>ACIDE_MALEIQUE</t>
        </is>
      </c>
      <c r="B218" t="inlineStr">
        <is>
          <t>110-16-7</t>
        </is>
      </c>
      <c r="C218" s="1" t="n">
        <v>6118</v>
      </c>
      <c r="E218">
        <f>IFERROR(IF(_xlfn.XLOOKUP(#REF!, Tableau5[Code sandre], Tableau5[Code sandre],, 0) &lt;&gt; "", 1, ""), "")</f>
        <v/>
      </c>
    </row>
    <row r="219">
      <c r="A219" t="inlineStr">
        <is>
          <t>ACIDE_MEFENAMIQUE</t>
        </is>
      </c>
      <c r="B219" t="inlineStr">
        <is>
          <t>61-68-7</t>
        </is>
      </c>
      <c r="C219" s="1" t="n">
        <v>6538</v>
      </c>
      <c r="E219">
        <f>IFERROR(IF(_xlfn.XLOOKUP(#REF!, Tableau5[Code sandre], Tableau5[Code sandre],, 0) &lt;&gt; "", 1, ""), "")</f>
        <v/>
      </c>
    </row>
    <row r="220">
      <c r="A220" t="inlineStr">
        <is>
          <t>ACIDE_MONOBROMOACETIQUE</t>
        </is>
      </c>
      <c r="B220" t="inlineStr">
        <is>
          <t>79-08-3</t>
        </is>
      </c>
      <c r="C220" s="1" t="n">
        <v>5427</v>
      </c>
      <c r="E220">
        <f>IFERROR(IF(_xlfn.XLOOKUP(#REF!, Tableau5[Code sandre], Tableau5[Code sandre],, 0) &lt;&gt; "", 1, ""), "")</f>
        <v/>
      </c>
    </row>
    <row r="221">
      <c r="A221" t="inlineStr">
        <is>
          <t>ACIDE_MONOCHLOROACETIQUE</t>
        </is>
      </c>
      <c r="B221" t="inlineStr">
        <is>
          <t>79-11-8</t>
        </is>
      </c>
      <c r="C221" s="1" t="n">
        <v>1465</v>
      </c>
      <c r="E221">
        <f>IFERROR(IF(_xlfn.XLOOKUP(#REF!, Tableau5[Code sandre], Tableau5[Code sandre],, 0) &lt;&gt; "", 1, ""), "")</f>
        <v/>
      </c>
    </row>
    <row r="222">
      <c r="A222" t="inlineStr">
        <is>
          <t>ACIDE_MYRISTOLEIQUE-C14-1</t>
        </is>
      </c>
      <c r="B222" t="inlineStr">
        <is>
          <t>544-63-8</t>
        </is>
      </c>
      <c r="C222" s="1" t="n">
        <v>2994</v>
      </c>
      <c r="E222">
        <f>IFERROR(IF(_xlfn.XLOOKUP(#REF!, Tableau5[Code sandre], Tableau5[Code sandre],, 0) &lt;&gt; "", 1, ""), "")</f>
        <v/>
      </c>
    </row>
    <row r="223">
      <c r="A223" t="inlineStr">
        <is>
          <t>ACIDE_NITRILOACETIQUE_NTA</t>
        </is>
      </c>
      <c r="B223" t="inlineStr">
        <is>
          <t>139-13-9</t>
        </is>
      </c>
      <c r="C223" s="1" t="n">
        <v>1521</v>
      </c>
      <c r="E223">
        <f>IFERROR(IF(_xlfn.XLOOKUP(#REF!, Tableau5[Code sandre], Tableau5[Code sandre],, 0) &lt;&gt; "", 1, ""), "")</f>
        <v/>
      </c>
    </row>
    <row r="224">
      <c r="A224" t="inlineStr">
        <is>
          <t>ACIDE_OLEIQUE-C18-1</t>
        </is>
      </c>
      <c r="B224" t="inlineStr">
        <is>
          <t>112-80-1</t>
        </is>
      </c>
      <c r="C224" s="1" t="n">
        <v>2998</v>
      </c>
      <c r="E224">
        <f>IFERROR(IF(_xlfn.XLOOKUP(#REF!, Tableau5[Code sandre], Tableau5[Code sandre],, 0) &lt;&gt; "", 1, ""), "")</f>
        <v/>
      </c>
    </row>
    <row r="225">
      <c r="A225" t="inlineStr">
        <is>
          <t>ACIDE_PALMITIQUE-C16</t>
        </is>
      </c>
      <c r="B225" t="inlineStr">
        <is>
          <t>57-10-3</t>
        </is>
      </c>
      <c r="C225" s="1" t="n">
        <v>2995</v>
      </c>
      <c r="E225">
        <f>IFERROR(IF(_xlfn.XLOOKUP(#REF!, Tableau5[Code sandre], Tableau5[Code sandre],, 0) &lt;&gt; "", 1, ""), "")</f>
        <v/>
      </c>
    </row>
    <row r="226">
      <c r="A226" t="inlineStr">
        <is>
          <t>ACIDE_PALMITOLEIQUE-C16-1</t>
        </is>
      </c>
      <c r="B226" t="inlineStr">
        <is>
          <t>373-49-9</t>
        </is>
      </c>
      <c r="C226" s="1" t="n">
        <v>2996</v>
      </c>
      <c r="E226">
        <f>IFERROR(IF(_xlfn.XLOOKUP(#REF!, Tableau5[Code sandre], Tableau5[Code sandre],, 0) &lt;&gt; "", 1, ""), "")</f>
        <v/>
      </c>
    </row>
    <row r="227">
      <c r="A227" t="inlineStr">
        <is>
          <t>ACIDE_PICRIQUE</t>
        </is>
      </c>
      <c r="B227" t="inlineStr">
        <is>
          <t>88-89-1</t>
        </is>
      </c>
      <c r="C227" s="1" t="n">
        <v>6196</v>
      </c>
      <c r="E227">
        <f>IFERROR(IF(_xlfn.XLOOKUP(#REF!, Tableau5[Code sandre], Tableau5[Code sandre],, 0) &lt;&gt; "", 1, ""), "")</f>
        <v/>
      </c>
    </row>
    <row r="228">
      <c r="A228" t="inlineStr">
        <is>
          <t>ACIDE_PROPIONIQUE</t>
        </is>
      </c>
      <c r="B228" t="inlineStr">
        <is>
          <t>79-09-4</t>
        </is>
      </c>
      <c r="C228" s="1" t="n">
        <v>3152</v>
      </c>
      <c r="E228">
        <f>IFERROR(IF(_xlfn.XLOOKUP(#REF!, Tableau5[Code sandre], Tableau5[Code sandre],, 0) &lt;&gt; "", 1, ""), "")</f>
        <v/>
      </c>
    </row>
    <row r="229">
      <c r="A229" t="inlineStr">
        <is>
          <t>ACIDE_PROPIONNIQUE</t>
        </is>
      </c>
      <c r="B229" t="inlineStr">
        <is>
          <t>79-09-4</t>
        </is>
      </c>
      <c r="C229" s="1" t="n">
        <v>3152</v>
      </c>
      <c r="E229">
        <f>IFERROR(IF(_xlfn.XLOOKUP(#REF!, Tableau5[Code sandre], Tableau5[Code sandre],, 0) &lt;&gt; "", 1, ""), "")</f>
        <v/>
      </c>
    </row>
    <row r="230">
      <c r="A230" t="inlineStr">
        <is>
          <t>ACIDE_SALICYLIQUE</t>
        </is>
      </c>
      <c r="B230" t="inlineStr">
        <is>
          <t>69-72-7</t>
        </is>
      </c>
      <c r="C230" s="1" t="n">
        <v>5355</v>
      </c>
      <c r="E230">
        <f>IFERROR(IF(_xlfn.XLOOKUP(#REF!, Tableau5[Code sandre], Tableau5[Code sandre],, 0) &lt;&gt; "", 1, ""), "")</f>
        <v/>
      </c>
    </row>
    <row r="231">
      <c r="A231" t="inlineStr">
        <is>
          <t>ACIDE_STEARIQUE-C18</t>
        </is>
      </c>
      <c r="B231" t="inlineStr">
        <is>
          <t>57-11-4</t>
        </is>
      </c>
      <c r="C231" s="1" t="n">
        <v>2997</v>
      </c>
      <c r="E231">
        <f>IFERROR(IF(_xlfn.XLOOKUP(#REF!, Tableau5[Code sandre], Tableau5[Code sandre],, 0) &lt;&gt; "", 1, ""), "")</f>
        <v/>
      </c>
    </row>
    <row r="232">
      <c r="A232" t="inlineStr">
        <is>
          <t>ACIDE_TARTRIQUE</t>
        </is>
      </c>
      <c r="B232" t="inlineStr">
        <is>
          <t>87-69-4</t>
        </is>
      </c>
      <c r="C232" s="1" t="n">
        <v>7866</v>
      </c>
      <c r="E232">
        <f>IFERROR(IF(_xlfn.XLOOKUP(#REF!, Tableau5[Code sandre], Tableau5[Code sandre],, 0) &lt;&gt; "", 1, ""), "")</f>
        <v/>
      </c>
    </row>
    <row r="233">
      <c r="A233" t="inlineStr">
        <is>
          <t>ACIDE_TEREPHTALIQUE</t>
        </is>
      </c>
      <c r="C233" s="1" t="n">
        <v>3310</v>
      </c>
      <c r="E233">
        <f>IFERROR(IF(_xlfn.XLOOKUP(#REF!, Tableau5[Code sandre], Tableau5[Code sandre],, 0) &lt;&gt; "", 1, ""), "")</f>
        <v/>
      </c>
    </row>
    <row r="234">
      <c r="A234" t="inlineStr">
        <is>
          <t>ACIDE_TRIBROMOACETIQUE</t>
        </is>
      </c>
      <c r="B234" t="inlineStr">
        <is>
          <t>75-96-7</t>
        </is>
      </c>
      <c r="C234" s="1" t="n">
        <v>7059</v>
      </c>
      <c r="E234">
        <f>IFERROR(IF(_xlfn.XLOOKUP(#REF!, Tableau5[Code sandre], Tableau5[Code sandre],, 0) &lt;&gt; "", 1, ""), "")</f>
        <v/>
      </c>
    </row>
    <row r="235">
      <c r="A235" t="inlineStr">
        <is>
          <t>ACIDE_TRICHLOROACETIQUE</t>
        </is>
      </c>
      <c r="B235" t="inlineStr">
        <is>
          <t>76-03-9</t>
        </is>
      </c>
      <c r="C235" s="1" t="n">
        <v>1546</v>
      </c>
      <c r="D235" t="inlineStr">
        <is>
          <t>IPPMU</t>
        </is>
      </c>
      <c r="E235">
        <f>IFERROR(IF(_xlfn.XLOOKUP(#REF!, Tableau5[Code sandre], Tableau5[Code sandre],, 0) &lt;&gt; "", 1, ""), "")</f>
        <v/>
      </c>
    </row>
    <row r="236">
      <c r="A236" t="inlineStr">
        <is>
          <t>ACIDE_TRIFLIQUE</t>
        </is>
      </c>
      <c r="B236" t="inlineStr">
        <is>
          <t>1493-13-6</t>
        </is>
      </c>
      <c r="C236" s="1" t="n">
        <v>9119</v>
      </c>
      <c r="E236">
        <f>IFERROR(IF(_xlfn.XLOOKUP(#REF!, Tableau5[Code sandre], Tableau5[Code sandre],, 0) &lt;&gt; "", 1, ""), "")</f>
        <v/>
      </c>
    </row>
    <row r="237">
      <c r="A237" t="inlineStr">
        <is>
          <t>ACIDE_TRIFLUOROACETIQUE</t>
        </is>
      </c>
      <c r="B237" t="inlineStr">
        <is>
          <t>76-05-1</t>
        </is>
      </c>
      <c r="C237" s="1" t="n">
        <v>8858</v>
      </c>
      <c r="E237">
        <f>IFERROR(IF(_xlfn.XLOOKUP(#REF!, Tableau5[Code sandre], Tableau5[Code sandre],, 0) &lt;&gt; "", 1, ""), "")</f>
        <v/>
      </c>
    </row>
    <row r="238">
      <c r="A238" t="inlineStr">
        <is>
          <t>ACIDE_VALERIQUE</t>
        </is>
      </c>
      <c r="B238" t="inlineStr">
        <is>
          <t>109-52-4</t>
        </is>
      </c>
      <c r="C238" s="1" t="n">
        <v>3155</v>
      </c>
      <c r="D238" t="inlineStr">
        <is>
          <t>IODO</t>
        </is>
      </c>
      <c r="E238">
        <f>IFERROR(IF(_xlfn.XLOOKUP(#REF!, Tableau5[Code sandre], Tableau5[Code sandre],, 0) &lt;&gt; "", 1, ""), "")</f>
        <v/>
      </c>
    </row>
    <row r="239">
      <c r="A239" t="inlineStr">
        <is>
          <t>ACIDES_CHLOROACETIQUES_TOTAUX</t>
        </is>
      </c>
      <c r="C239" s="1" t="n">
        <v>1465</v>
      </c>
      <c r="E239">
        <f>IFERROR(IF(_xlfn.XLOOKUP(#REF!, Tableau5[Code sandre], Tableau5[Code sandre],, 0) &lt;&gt; "", 1, ""), "")</f>
        <v/>
      </c>
    </row>
    <row r="240">
      <c r="A240" t="inlineStr">
        <is>
          <t>ACIDES_HALOACETIQUES_TOTAUX</t>
        </is>
      </c>
      <c r="C240" s="1" t="n">
        <v>9064</v>
      </c>
      <c r="D240" t="inlineStr">
        <is>
          <t>BISPHEN</t>
        </is>
      </c>
      <c r="E240">
        <f>IFERROR(IF(_xlfn.XLOOKUP(#REF!, Tableau5[Code sandre], Tableau5[Code sandre],, 0) &lt;&gt; "", 1, ""), "")</f>
        <v/>
      </c>
    </row>
    <row r="241">
      <c r="A241" t="inlineStr">
        <is>
          <t>ACLONIFEN</t>
        </is>
      </c>
      <c r="B241" t="inlineStr">
        <is>
          <t>74070-46-5</t>
        </is>
      </c>
      <c r="C241" s="1" t="n">
        <v>1688</v>
      </c>
      <c r="D241" t="inlineStr">
        <is>
          <t>BISPHEN</t>
        </is>
      </c>
      <c r="E241">
        <f>IFERROR(IF(_xlfn.XLOOKUP(#REF!, Tableau5[Code sandre], Tableau5[Code sandre],, 0) &lt;&gt; "", 1, ""), "")</f>
        <v/>
      </c>
    </row>
    <row r="242">
      <c r="A242" t="inlineStr">
        <is>
          <t>ACLONIFEN_ST</t>
        </is>
      </c>
      <c r="C242" s="1" t="n">
        <v>1688</v>
      </c>
      <c r="E242">
        <f>IFERROR(IF(_xlfn.XLOOKUP(#REF!, Tableau5[Code sandre], Tableau5[Code sandre],, 0) &lt;&gt; "", 1, ""), "")</f>
        <v/>
      </c>
    </row>
    <row r="243">
      <c r="A243" t="inlineStr">
        <is>
          <t>ACRINATHRINE</t>
        </is>
      </c>
      <c r="B243" t="inlineStr">
        <is>
          <t>101007-06-1</t>
        </is>
      </c>
      <c r="C243" s="1" t="n">
        <v>1310</v>
      </c>
      <c r="E243">
        <f>IFERROR(IF(_xlfn.XLOOKUP(#REF!, Tableau5[Code sandre], Tableau5[Code sandre],, 0) &lt;&gt; "", 1, ""), "")</f>
        <v/>
      </c>
    </row>
    <row r="244">
      <c r="A244" t="inlineStr">
        <is>
          <t>ACROLEINE</t>
        </is>
      </c>
      <c r="B244" t="inlineStr">
        <is>
          <t>107-02-8</t>
        </is>
      </c>
      <c r="C244" s="1" t="n">
        <v>5881</v>
      </c>
      <c r="E244">
        <f>IFERROR(IF(_xlfn.XLOOKUP(#REF!, Tableau5[Code sandre], Tableau5[Code sandre],, 0) &lt;&gt; "", 1, ""), "")</f>
        <v/>
      </c>
    </row>
    <row r="245">
      <c r="A245" t="inlineStr">
        <is>
          <t>ACRYLAMIDE</t>
        </is>
      </c>
      <c r="B245" t="inlineStr">
        <is>
          <t>79-06-1</t>
        </is>
      </c>
      <c r="C245" s="1" t="n">
        <v>1457</v>
      </c>
      <c r="E245">
        <f>IFERROR(IF(_xlfn.XLOOKUP(#REF!, Tableau5[Code sandre], Tableau5[Code sandre],, 0) &lt;&gt; "", 1, ""), "")</f>
        <v/>
      </c>
    </row>
    <row r="246">
      <c r="A246" t="inlineStr">
        <is>
          <t>ACRYLATE_DE_METHYLE</t>
        </is>
      </c>
      <c r="B246" t="inlineStr">
        <is>
          <t>96-33-3</t>
        </is>
      </c>
      <c r="C246" s="1" t="n">
        <v>2707</v>
      </c>
      <c r="E246">
        <f>IFERROR(IF(_xlfn.XLOOKUP(#REF!, Tableau5[Code sandre], Tableau5[Code sandre],, 0) &lt;&gt; "", 1, ""), "")</f>
        <v/>
      </c>
    </row>
    <row r="247">
      <c r="A247" t="inlineStr">
        <is>
          <t>ACRYLONITRILE</t>
        </is>
      </c>
      <c r="B247" t="inlineStr">
        <is>
          <t>107-13-1</t>
        </is>
      </c>
      <c r="C247" s="1" t="n">
        <v>2709</v>
      </c>
      <c r="E247">
        <f>IFERROR(IF(_xlfn.XLOOKUP(#REF!, Tableau5[Code sandre], Tableau5[Code sandre],, 0) &lt;&gt; "", 1, ""), "")</f>
        <v/>
      </c>
    </row>
    <row r="248">
      <c r="A248" t="inlineStr">
        <is>
          <t>AEROMONAS SPP</t>
        </is>
      </c>
      <c r="C248" s="1" t="n">
        <v>1052</v>
      </c>
      <c r="E248">
        <f>IFERROR(IF(_xlfn.XLOOKUP(#REF!, Tableau5[Code sandre], Tableau5[Code sandre],, 0) &lt;&gt; "", 1, ""), "")</f>
        <v/>
      </c>
    </row>
    <row r="249">
      <c r="A249" t="inlineStr">
        <is>
          <t>ALACHLORE</t>
        </is>
      </c>
      <c r="B249" t="inlineStr">
        <is>
          <t>15972-60-8</t>
        </is>
      </c>
      <c r="C249" s="1" t="n">
        <v>1101</v>
      </c>
      <c r="E249">
        <f>IFERROR(IF(_xlfn.XLOOKUP(#REF!, Tableau5[Code sandre], Tableau5[Code sandre],, 0) &lt;&gt; "", 1, ""), "")</f>
        <v/>
      </c>
    </row>
    <row r="250">
      <c r="A250" t="inlineStr">
        <is>
          <t>ALACHLORE_ESA</t>
        </is>
      </c>
      <c r="B250" t="inlineStr">
        <is>
          <t>142363-53-9</t>
        </is>
      </c>
      <c r="C250" s="1" t="n">
        <v>6800</v>
      </c>
      <c r="E250">
        <f>IFERROR(IF(_xlfn.XLOOKUP(#REF!, Tableau5[Code sandre], Tableau5[Code sandre],, 0) &lt;&gt; "", 1, ""), "")</f>
        <v/>
      </c>
    </row>
    <row r="251">
      <c r="A251" t="inlineStr">
        <is>
          <t>ALACHLORE_OXA</t>
        </is>
      </c>
      <c r="B251" t="inlineStr">
        <is>
          <t>171262-17-2</t>
        </is>
      </c>
      <c r="C251" s="1" t="n">
        <v>6855</v>
      </c>
      <c r="E251">
        <f>IFERROR(IF(_xlfn.XLOOKUP(#REF!, Tableau5[Code sandre], Tableau5[Code sandre],, 0) &lt;&gt; "", 1, ""), "")</f>
        <v/>
      </c>
    </row>
    <row r="252">
      <c r="A252" t="inlineStr">
        <is>
          <t>ALCALINITE</t>
        </is>
      </c>
      <c r="C252" s="1" t="n">
        <v>1346</v>
      </c>
      <c r="D252" t="inlineStr">
        <is>
          <t>ACPT</t>
        </is>
      </c>
      <c r="E252">
        <f>IFERROR(IF(_xlfn.XLOOKUP(#REF!, Tableau5[Code sandre], Tableau5[Code sandre],, 0) &lt;&gt; "", 1, ""), "")</f>
        <v/>
      </c>
    </row>
    <row r="253">
      <c r="A253" t="inlineStr">
        <is>
          <t>ALCALINITE_LIBRE</t>
        </is>
      </c>
      <c r="C253" s="1" t="n">
        <v>1346</v>
      </c>
      <c r="E253">
        <f>IFERROR(IF(_xlfn.XLOOKUP(#REF!, Tableau5[Code sandre], Tableau5[Code sandre],, 0) &lt;&gt; "", 1, ""), "")</f>
        <v/>
      </c>
    </row>
    <row r="254">
      <c r="A254" t="inlineStr">
        <is>
          <t>ALCALINITE_TOTAL</t>
        </is>
      </c>
      <c r="C254" s="1" t="n">
        <v>1346</v>
      </c>
      <c r="E254">
        <f>IFERROR(IF(_xlfn.XLOOKUP(#REF!, Tableau5[Code sandre], Tableau5[Code sandre],, 0) &lt;&gt; "", 1, ""), "")</f>
        <v/>
      </c>
    </row>
    <row r="255">
      <c r="A255" t="inlineStr">
        <is>
          <t>ALDICARBE</t>
        </is>
      </c>
      <c r="B255" t="inlineStr">
        <is>
          <t>116-06-3</t>
        </is>
      </c>
      <c r="C255" s="1" t="n">
        <v>1102</v>
      </c>
      <c r="D255" t="inlineStr">
        <is>
          <t>IPPU</t>
        </is>
      </c>
      <c r="E255">
        <f>IFERROR(IF(_xlfn.XLOOKUP(#REF!, Tableau5[Code sandre], Tableau5[Code sandre],, 0) &lt;&gt; "", 1, ""), "")</f>
        <v/>
      </c>
    </row>
    <row r="256">
      <c r="A256" t="inlineStr">
        <is>
          <t>ALDICARBE_SULFONE</t>
        </is>
      </c>
      <c r="B256" t="inlineStr">
        <is>
          <t>1646-88-4</t>
        </is>
      </c>
      <c r="C256" s="1" t="n">
        <v>1807</v>
      </c>
      <c r="E256">
        <f>IFERROR(IF(_xlfn.XLOOKUP(#REF!, Tableau5[Code sandre], Tableau5[Code sandre],, 0) &lt;&gt; "", 1, ""), "")</f>
        <v/>
      </c>
    </row>
    <row r="257">
      <c r="A257" t="inlineStr">
        <is>
          <t>ALDRINE</t>
        </is>
      </c>
      <c r="B257" t="inlineStr">
        <is>
          <t>309-00-2</t>
        </is>
      </c>
      <c r="C257" s="1" t="n">
        <v>1103</v>
      </c>
      <c r="E257">
        <f>IFERROR(IF(_xlfn.XLOOKUP(#REF!, Tableau5[Code sandre], Tableau5[Code sandre],, 0) &lt;&gt; "", 1, ""), "")</f>
        <v/>
      </c>
    </row>
    <row r="258">
      <c r="A258" t="inlineStr">
        <is>
          <t>ALLETHRINE</t>
        </is>
      </c>
      <c r="B258" t="inlineStr">
        <is>
          <t>584-79-2</t>
        </is>
      </c>
      <c r="C258" s="1" t="n">
        <v>1697</v>
      </c>
      <c r="E258">
        <f>IFERROR(IF(_xlfn.XLOOKUP(#REF!, Tableau5[Code sandre], Tableau5[Code sandre],, 0) &lt;&gt; "", 1, ""), "")</f>
        <v/>
      </c>
    </row>
    <row r="259">
      <c r="A259" t="inlineStr">
        <is>
          <t>ALPHAMETHRINE</t>
        </is>
      </c>
      <c r="B259" t="inlineStr">
        <is>
          <t>67375-30-8</t>
        </is>
      </c>
      <c r="C259" s="1" t="n">
        <v>1812</v>
      </c>
      <c r="E259">
        <f>IFERROR(IF(_xlfn.XLOOKUP(#REF!, Tableau5[Code sandre], Tableau5[Code sandre],, 0) &lt;&gt; "", 1, ""), "")</f>
        <v/>
      </c>
    </row>
    <row r="260">
      <c r="A260" t="inlineStr">
        <is>
          <t>ALUMINIUM</t>
        </is>
      </c>
      <c r="C260" s="1" t="n">
        <v>1370</v>
      </c>
      <c r="E260">
        <f>IFERROR(IF(_xlfn.XLOOKUP(#REF!, Tableau5[Code sandre], Tableau5[Code sandre],, 0) &lt;&gt; "", 1, ""), "")</f>
        <v/>
      </c>
    </row>
    <row r="261">
      <c r="A261" t="inlineStr">
        <is>
          <t>ALUMINIUM_3</t>
        </is>
      </c>
      <c r="B261" t="inlineStr">
        <is>
          <t>7429-90-5</t>
        </is>
      </c>
      <c r="C261" s="1" t="n">
        <v>1370</v>
      </c>
      <c r="E261">
        <f>IFERROR(IF(_xlfn.XLOOKUP(#REF!, Tableau5[Code sandre], Tableau5[Code sandre],, 0) &lt;&gt; "", 1, ""), "")</f>
        <v/>
      </c>
    </row>
    <row r="262">
      <c r="A262" t="inlineStr">
        <is>
          <t>ALUMINIUM_4</t>
        </is>
      </c>
      <c r="B262" t="inlineStr">
        <is>
          <t>7429-90-5</t>
        </is>
      </c>
      <c r="C262" s="1" t="n">
        <v>1370</v>
      </c>
      <c r="E262">
        <f>IFERROR(IF(_xlfn.XLOOKUP(#REF!, Tableau5[Code sandre], Tableau5[Code sandre],, 0) &lt;&gt; "", 1, ""), "")</f>
        <v/>
      </c>
    </row>
    <row r="263">
      <c r="A263" t="inlineStr">
        <is>
          <t>AMETHRYNE</t>
        </is>
      </c>
      <c r="B263" t="inlineStr">
        <is>
          <t>834-12-8</t>
        </is>
      </c>
      <c r="C263" s="1" t="n">
        <v>1104</v>
      </c>
      <c r="E263">
        <f>IFERROR(IF(_xlfn.XLOOKUP(#REF!, Tableau5[Code sandre], Tableau5[Code sandre],, 0) &lt;&gt; "", 1, ""), "")</f>
        <v/>
      </c>
    </row>
    <row r="264">
      <c r="A264" t="inlineStr">
        <is>
          <t>AMETOCTRADINE</t>
        </is>
      </c>
      <c r="B264" t="inlineStr">
        <is>
          <t>865318-97-4</t>
        </is>
      </c>
      <c r="C264" s="1" t="n">
        <v>7842</v>
      </c>
      <c r="E264">
        <f>IFERROR(IF(_xlfn.XLOOKUP(#REF!, Tableau5[Code sandre], Tableau5[Code sandre],, 0) &lt;&gt; "", 1, ""), "")</f>
        <v/>
      </c>
    </row>
    <row r="265">
      <c r="A265" t="inlineStr">
        <is>
          <t>AMETOCTRADINE_M650F04</t>
        </is>
      </c>
      <c r="B265" t="inlineStr">
        <is>
          <t>865318-97-4</t>
        </is>
      </c>
      <c r="C265" s="1" t="n">
        <v>7842</v>
      </c>
      <c r="E265">
        <f>IFERROR(IF(_xlfn.XLOOKUP(#REF!, Tableau5[Code sandre], Tableau5[Code sandre],, 0) &lt;&gt; "", 1, ""), "")</f>
        <v/>
      </c>
    </row>
    <row r="266">
      <c r="A266" t="inlineStr">
        <is>
          <t>AMIBES_LIBRES_THERMOPHILES</t>
        </is>
      </c>
      <c r="C266" s="1" t="n">
        <v>1062</v>
      </c>
      <c r="E266">
        <f>IFERROR(IF(_xlfn.XLOOKUP(#REF!, Tableau5[Code sandre], Tableau5[Code sandre],, 0) &lt;&gt; "", 1, ""), "")</f>
        <v/>
      </c>
    </row>
    <row r="267">
      <c r="A267" t="inlineStr">
        <is>
          <t>AMIDOSULFURON</t>
        </is>
      </c>
      <c r="B267" t="inlineStr">
        <is>
          <t>120923-37-7</t>
        </is>
      </c>
      <c r="C267" s="1" t="n">
        <v>2012</v>
      </c>
      <c r="E267">
        <f>IFERROR(IF(_xlfn.XLOOKUP(#REF!, Tableau5[Code sandre], Tableau5[Code sandre],, 0) &lt;&gt; "", 1, ""), "")</f>
        <v/>
      </c>
    </row>
    <row r="268">
      <c r="A268" t="inlineStr">
        <is>
          <t>AMINOPYRALID</t>
        </is>
      </c>
      <c r="B268" t="inlineStr">
        <is>
          <t>150114-71-9</t>
        </is>
      </c>
      <c r="C268" s="1" t="n">
        <v>7580</v>
      </c>
      <c r="E268">
        <f>IFERROR(IF(_xlfn.XLOOKUP(#REF!, Tableau5[Code sandre], Tableau5[Code sandre],, 0) &lt;&gt; "", 1, ""), "")</f>
        <v/>
      </c>
    </row>
    <row r="269">
      <c r="A269" t="inlineStr">
        <is>
          <t>AMINOTRIAZOLE</t>
        </is>
      </c>
      <c r="B269" t="inlineStr">
        <is>
          <t>61-82-5</t>
        </is>
      </c>
      <c r="C269" s="1" t="n">
        <v>1105</v>
      </c>
      <c r="E269">
        <f>IFERROR(IF(_xlfn.XLOOKUP(#REF!, Tableau5[Code sandre], Tableau5[Code sandre],, 0) &lt;&gt; "", 1, ""), "")</f>
        <v/>
      </c>
    </row>
    <row r="270">
      <c r="A270" t="inlineStr">
        <is>
          <t>AMINOTRIAZOLE_ST</t>
        </is>
      </c>
      <c r="C270" s="1" t="n">
        <v>1105</v>
      </c>
      <c r="E270">
        <f>IFERROR(IF(_xlfn.XLOOKUP(#REF!, Tableau5[Code sandre], Tableau5[Code sandre],, 0) &lt;&gt; "", 1, ""), "")</f>
        <v/>
      </c>
    </row>
    <row r="271">
      <c r="A271" t="inlineStr">
        <is>
          <t>AMISULBROM</t>
        </is>
      </c>
      <c r="B271" t="inlineStr">
        <is>
          <t>348635-87-0</t>
        </is>
      </c>
      <c r="C271" s="1" t="n">
        <v>8043</v>
      </c>
      <c r="E271">
        <f>IFERROR(IF(_xlfn.XLOOKUP(#REF!, Tableau5[Code sandre], Tableau5[Code sandre],, 0) &lt;&gt; "", 1, ""), "")</f>
        <v/>
      </c>
    </row>
    <row r="272">
      <c r="A272" t="inlineStr">
        <is>
          <t>AMISULPRIDE</t>
        </is>
      </c>
      <c r="B272" t="inlineStr">
        <is>
          <t>71675-85-9</t>
        </is>
      </c>
      <c r="C272" s="1" t="n">
        <v>8764</v>
      </c>
      <c r="E272">
        <f>IFERROR(IF(_xlfn.XLOOKUP(#REF!, Tableau5[Code sandre], Tableau5[Code sandre],, 0) &lt;&gt; "", 1, ""), "")</f>
        <v/>
      </c>
    </row>
    <row r="273">
      <c r="A273" t="inlineStr">
        <is>
          <t>AMMONIUM_NH4</t>
        </is>
      </c>
      <c r="B273" t="inlineStr">
        <is>
          <t>14798-03-9</t>
        </is>
      </c>
      <c r="C273" s="1" t="n">
        <v>1335</v>
      </c>
      <c r="D273" t="inlineStr">
        <is>
          <t>BFINE</t>
        </is>
      </c>
      <c r="E273">
        <f>IFERROR(IF(_xlfn.XLOOKUP(#REF!, Tableau5[Code sandre], Tableau5[Code sandre],, 0) &lt;&gt; "", 1, ""), "")</f>
        <v/>
      </c>
    </row>
    <row r="274">
      <c r="A274" t="inlineStr">
        <is>
          <t>AMPA</t>
        </is>
      </c>
      <c r="C274" s="1" t="n">
        <v>1907</v>
      </c>
      <c r="D274" t="inlineStr">
        <is>
          <t>AZIMSUL</t>
        </is>
      </c>
      <c r="E274">
        <f>IFERROR(IF(_xlfn.XLOOKUP(#REF!, Tableau5[Code sandre], Tableau5[Code sandre],, 0) &lt;&gt; "", 1, ""), "")</f>
        <v/>
      </c>
    </row>
    <row r="275">
      <c r="A275" t="inlineStr">
        <is>
          <t>AMPA_ST</t>
        </is>
      </c>
      <c r="C275" s="1" t="n">
        <v>1907</v>
      </c>
      <c r="E275">
        <f>IFERROR(IF(_xlfn.XLOOKUP(#REF!, Tableau5[Code sandre], Tableau5[Code sandre],, 0) &lt;&gt; "", 1, ""), "")</f>
        <v/>
      </c>
    </row>
    <row r="276">
      <c r="A276" t="inlineStr">
        <is>
          <t>ANHYDRE_CARBONIQUE_AGRESSIF</t>
        </is>
      </c>
      <c r="C276" s="1" t="n">
        <v>6426</v>
      </c>
      <c r="D276" t="inlineStr">
        <is>
          <t>BA</t>
        </is>
      </c>
      <c r="E276">
        <f>IFERROR(IF(_xlfn.XLOOKUP(#REF!, Tableau5[Code sandre], Tableau5[Code sandre],, 0) &lt;&gt; "", 1, ""), "")</f>
        <v/>
      </c>
    </row>
    <row r="277">
      <c r="A277" t="inlineStr">
        <is>
          <t>ANHYDRE_CARBONIQUE_LIBRE</t>
        </is>
      </c>
      <c r="B277" t="inlineStr">
        <is>
          <t>124-38-9</t>
        </is>
      </c>
      <c r="C277" s="1" t="n">
        <v>1344</v>
      </c>
      <c r="D277" t="inlineStr">
        <is>
          <t>BR</t>
        </is>
      </c>
      <c r="E277">
        <f>IFERROR(IF(_xlfn.XLOOKUP(#REF!, Tableau5[Code sandre], Tableau5[Code sandre],, 0) &lt;&gt; "", 1, ""), "")</f>
        <v/>
      </c>
    </row>
    <row r="278">
      <c r="A278" t="inlineStr">
        <is>
          <t>ANILINE</t>
        </is>
      </c>
      <c r="B278" t="inlineStr">
        <is>
          <t>62-53-3</t>
        </is>
      </c>
      <c r="C278" s="1" t="n">
        <v>2605</v>
      </c>
      <c r="E278">
        <f>IFERROR(IF(_xlfn.XLOOKUP(#REF!, Tableau5[Code sandre], Tableau5[Code sandre],, 0) &lt;&gt; "", 1, ""), "")</f>
        <v/>
      </c>
    </row>
    <row r="279">
      <c r="A279" t="inlineStr">
        <is>
          <t>ANTHRACENE</t>
        </is>
      </c>
      <c r="B279" t="inlineStr">
        <is>
          <t>120-12-7</t>
        </is>
      </c>
      <c r="C279" s="1" t="n">
        <v>1458</v>
      </c>
      <c r="E279">
        <f>IFERROR(IF(_xlfn.XLOOKUP(#REF!, Tableau5[Code sandre], Tableau5[Code sandre],, 0) &lt;&gt; "", 1, ""), "")</f>
        <v/>
      </c>
    </row>
    <row r="280">
      <c r="A280" t="inlineStr">
        <is>
          <t>ANTHRAQUINONE</t>
        </is>
      </c>
      <c r="B280" t="inlineStr">
        <is>
          <t>84-65-1</t>
        </is>
      </c>
      <c r="C280" s="1" t="n">
        <v>2013</v>
      </c>
      <c r="E280">
        <f>IFERROR(IF(_xlfn.XLOOKUP(#REF!, Tableau5[Code sandre], Tableau5[Code sandre],, 0) &lt;&gt; "", 1, ""), "")</f>
        <v/>
      </c>
    </row>
    <row r="281">
      <c r="A281" t="inlineStr">
        <is>
          <t>ANTIMOINE</t>
        </is>
      </c>
      <c r="C281" s="1" t="n">
        <v>1376</v>
      </c>
      <c r="E281">
        <f>IFERROR(IF(_xlfn.XLOOKUP(#REF!, Tableau5[Code sandre], Tableau5[Code sandre],, 0) &lt;&gt; "", 1, ""), "")</f>
        <v/>
      </c>
    </row>
    <row r="282">
      <c r="A282" t="inlineStr">
        <is>
          <t>AOF</t>
        </is>
      </c>
      <c r="C282" s="1" t="n">
        <v>8986</v>
      </c>
      <c r="E282">
        <f>IFERROR(IF(_xlfn.XLOOKUP(#REF!, Tableau5[Code sandre], Tableau5[Code sandre],, 0) &lt;&gt; "", 1, ""), "")</f>
        <v/>
      </c>
    </row>
    <row r="283">
      <c r="A283" t="inlineStr">
        <is>
          <t>AOX</t>
        </is>
      </c>
      <c r="C283" s="1" t="n">
        <v>1106</v>
      </c>
      <c r="D283" t="inlineStr">
        <is>
          <t>BRXY</t>
        </is>
      </c>
      <c r="E283">
        <f>IFERROR(IF(_xlfn.XLOOKUP(#REF!, Tableau5[Code sandre], Tableau5[Code sandre],, 0) &lt;&gt; "", 1, ""), "")</f>
        <v/>
      </c>
    </row>
    <row r="284">
      <c r="A284" t="inlineStr">
        <is>
          <t>AOX_CENTRIF</t>
        </is>
      </c>
      <c r="C284" s="1" t="n">
        <v>1106</v>
      </c>
      <c r="E284">
        <f>IFERROR(IF(_xlfn.XLOOKUP(#REF!, Tableau5[Code sandre], Tableau5[Code sandre],, 0) &lt;&gt; "", 1, ""), "")</f>
        <v/>
      </c>
    </row>
    <row r="285">
      <c r="A285" t="inlineStr">
        <is>
          <t>ARGENT</t>
        </is>
      </c>
      <c r="C285" s="1" t="n">
        <v>1368</v>
      </c>
      <c r="E285">
        <f>IFERROR(IF(_xlfn.XLOOKUP(#REF!, Tableau5[Code sandre], Tableau5[Code sandre],, 0) &lt;&gt; "", 1, ""), "")</f>
        <v/>
      </c>
    </row>
    <row r="286">
      <c r="A286" t="inlineStr">
        <is>
          <t>AROCHLOR_1016</t>
        </is>
      </c>
      <c r="B286" t="inlineStr">
        <is>
          <t>12674-11-2</t>
        </is>
      </c>
      <c r="C286" s="1" t="n">
        <v>1728</v>
      </c>
      <c r="E286">
        <f>IFERROR(IF(_xlfn.XLOOKUP(#REF!, Tableau5[Code sandre], Tableau5[Code sandre],, 0) &lt;&gt; "", 1, ""), "")</f>
        <v/>
      </c>
    </row>
    <row r="287">
      <c r="A287" t="inlineStr">
        <is>
          <t>AROCHLOR_1242</t>
        </is>
      </c>
      <c r="B287" t="inlineStr">
        <is>
          <t>53469-21-9</t>
        </is>
      </c>
      <c r="C287" s="1" t="n">
        <v>1249</v>
      </c>
      <c r="E287">
        <f>IFERROR(IF(_xlfn.XLOOKUP(#REF!, Tableau5[Code sandre], Tableau5[Code sandre],, 0) &lt;&gt; "", 1, ""), "")</f>
        <v/>
      </c>
    </row>
    <row r="288">
      <c r="A288" t="inlineStr">
        <is>
          <t>AROCHLOR_1254</t>
        </is>
      </c>
      <c r="B288" t="inlineStr">
        <is>
          <t>11097-69-1</t>
        </is>
      </c>
      <c r="C288" s="1" t="n">
        <v>1250</v>
      </c>
      <c r="E288">
        <f>IFERROR(IF(_xlfn.XLOOKUP(#REF!, Tableau5[Code sandre], Tableau5[Code sandre],, 0) &lt;&gt; "", 1, ""), "")</f>
        <v/>
      </c>
    </row>
    <row r="289">
      <c r="A289" t="inlineStr">
        <is>
          <t>AROCHLOR_1260</t>
        </is>
      </c>
      <c r="B289" t="inlineStr">
        <is>
          <t>11096-82-5</t>
        </is>
      </c>
      <c r="C289" s="1" t="n">
        <v>1251</v>
      </c>
      <c r="E289">
        <f>IFERROR(IF(_xlfn.XLOOKUP(#REF!, Tableau5[Code sandre], Tableau5[Code sandre],, 0) &lt;&gt; "", 1, ""), "")</f>
        <v/>
      </c>
    </row>
    <row r="290">
      <c r="A290" t="inlineStr">
        <is>
          <t>AROCHLOR_5442</t>
        </is>
      </c>
      <c r="B290" t="inlineStr">
        <is>
          <t>12642-23-8</t>
        </is>
      </c>
      <c r="C290" s="1" t="n">
        <v>2769</v>
      </c>
      <c r="E290">
        <f>IFERROR(IF(_xlfn.XLOOKUP(#REF!, Tableau5[Code sandre], Tableau5[Code sandre],, 0) &lt;&gt; "", 1, ""), "")</f>
        <v/>
      </c>
    </row>
    <row r="291">
      <c r="A291" t="inlineStr">
        <is>
          <t>AROCHLOR_5460</t>
        </is>
      </c>
      <c r="B291" t="inlineStr">
        <is>
          <t>11126-42-4</t>
        </is>
      </c>
      <c r="C291" s="1" t="n">
        <v>2770</v>
      </c>
      <c r="E291">
        <f>IFERROR(IF(_xlfn.XLOOKUP(#REF!, Tableau5[Code sandre], Tableau5[Code sandre],, 0) &lt;&gt; "", 1, ""), "")</f>
        <v/>
      </c>
    </row>
    <row r="292">
      <c r="A292" t="inlineStr">
        <is>
          <t>ARSENIC</t>
        </is>
      </c>
      <c r="C292" s="1" t="n">
        <v>1369</v>
      </c>
      <c r="E292">
        <f>IFERROR(IF(_xlfn.XLOOKUP(#REF!, Tableau5[Code sandre], Tableau5[Code sandre],, 0) &lt;&gt; "", 1, ""), "")</f>
        <v/>
      </c>
    </row>
    <row r="293">
      <c r="A293" t="inlineStr">
        <is>
          <t>ASPECT</t>
        </is>
      </c>
      <c r="C293" s="1" t="n">
        <v>6489</v>
      </c>
      <c r="E293">
        <f>IFERROR(IF(_xlfn.XLOOKUP(#REF!, Tableau5[Code sandre], Tableau5[Code sandre],, 0) &lt;&gt; "", 1, ""), "")</f>
        <v/>
      </c>
    </row>
    <row r="294">
      <c r="A294" t="inlineStr">
        <is>
          <t>ASULAME</t>
        </is>
      </c>
      <c r="B294" t="inlineStr">
        <is>
          <t>3337-71-1</t>
        </is>
      </c>
      <c r="C294" s="1" t="n">
        <v>1965</v>
      </c>
      <c r="E294">
        <f>IFERROR(IF(_xlfn.XLOOKUP(#REF!, Tableau5[Code sandre], Tableau5[Code sandre],, 0) &lt;&gt; "", 1, ""), "")</f>
        <v/>
      </c>
    </row>
    <row r="295">
      <c r="A295" t="inlineStr">
        <is>
          <t>ATENOLOL</t>
        </is>
      </c>
      <c r="B295" t="inlineStr">
        <is>
          <t>29122-68-7</t>
        </is>
      </c>
      <c r="C295" s="1" t="n">
        <v>5361</v>
      </c>
      <c r="E295">
        <f>IFERROR(IF(_xlfn.XLOOKUP(#REF!, Tableau5[Code sandre], Tableau5[Code sandre],, 0) &lt;&gt; "", 1, ""), "")</f>
        <v/>
      </c>
    </row>
    <row r="296">
      <c r="A296" t="inlineStr">
        <is>
          <t>ATRAZINE</t>
        </is>
      </c>
      <c r="B296" t="inlineStr">
        <is>
          <t>1912-24-9</t>
        </is>
      </c>
      <c r="C296" s="1" t="n">
        <v>1107</v>
      </c>
      <c r="E296">
        <f>IFERROR(IF(_xlfn.XLOOKUP(#REF!, Tableau5[Code sandre], Tableau5[Code sandre],, 0) &lt;&gt; "", 1, ""), "")</f>
        <v/>
      </c>
    </row>
    <row r="297">
      <c r="A297" t="inlineStr">
        <is>
          <t>ATRAZINE_DEISOPROPYL_2 HYDROXY</t>
        </is>
      </c>
      <c r="B297" t="inlineStr">
        <is>
          <t>7313-54-4</t>
        </is>
      </c>
      <c r="C297" s="1" t="n">
        <v>3160</v>
      </c>
      <c r="E297">
        <f>IFERROR(IF(_xlfn.XLOOKUP(#REF!, Tableau5[Code sandre], Tableau5[Code sandre],, 0) &lt;&gt; "", 1, ""), "")</f>
        <v/>
      </c>
    </row>
    <row r="298">
      <c r="A298" t="inlineStr">
        <is>
          <t>ATRAZINE_DEISOPROPYL_2-HYDROXY</t>
        </is>
      </c>
      <c r="C298" t="n">
        <v>3160</v>
      </c>
      <c r="E298">
        <f>IFERROR(IF(_xlfn.XLOOKUP(#REF!, Tableau5[Code sandre], Tableau5[Code sandre],, 0) &lt;&gt; "", 1, ""), "")</f>
        <v/>
      </c>
    </row>
    <row r="299">
      <c r="A299" t="inlineStr">
        <is>
          <t>ATRAZINE_DESETHY_2 HYDROXY</t>
        </is>
      </c>
      <c r="B299" t="inlineStr">
        <is>
          <t>19988-24-0</t>
        </is>
      </c>
      <c r="C299" s="1" t="n">
        <v>3159</v>
      </c>
      <c r="E299">
        <f>IFERROR(IF(_xlfn.XLOOKUP(#REF!, Tableau5[Code sandre], Tableau5[Code sandre],, 0) &lt;&gt; "", 1, ""), "")</f>
        <v/>
      </c>
    </row>
    <row r="300">
      <c r="A300" t="inlineStr">
        <is>
          <t>ATRAZINE_DESETHY_2-HYDROXY</t>
        </is>
      </c>
      <c r="C300" t="n">
        <v>3159</v>
      </c>
      <c r="E300">
        <f>IFERROR(IF(_xlfn.XLOOKUP(#REF!, Tableau5[Code sandre], Tableau5[Code sandre],, 0) &lt;&gt; "", 1, ""), "")</f>
        <v/>
      </c>
    </row>
    <row r="301">
      <c r="A301" t="inlineStr">
        <is>
          <t>AZIMPHOS_ETHYL</t>
        </is>
      </c>
      <c r="B301" t="inlineStr">
        <is>
          <t>2642-71-9</t>
        </is>
      </c>
      <c r="C301" s="1" t="n">
        <v>1110</v>
      </c>
      <c r="E301">
        <f>IFERROR(IF(_xlfn.XLOOKUP(#REF!, Tableau5[Code sandre], Tableau5[Code sandre],, 0) &lt;&gt; "", 1, ""), "")</f>
        <v/>
      </c>
    </row>
    <row r="302">
      <c r="A302" t="inlineStr">
        <is>
          <t>AZIMSULFURON</t>
        </is>
      </c>
      <c r="B302" t="inlineStr">
        <is>
          <t>120162-55-2</t>
        </is>
      </c>
      <c r="C302" s="1" t="n">
        <v>2937</v>
      </c>
      <c r="E302">
        <f>IFERROR(IF(_xlfn.XLOOKUP(#REF!, Tableau5[Code sandre], Tableau5[Code sandre],, 0) &lt;&gt; "", 1, ""), "")</f>
        <v/>
      </c>
    </row>
    <row r="303">
      <c r="A303" t="inlineStr">
        <is>
          <t>AZITHROMYCIN</t>
        </is>
      </c>
      <c r="B303" t="inlineStr">
        <is>
          <t>83905-01-5</t>
        </is>
      </c>
      <c r="C303" s="1" t="n">
        <v>7817</v>
      </c>
      <c r="E303">
        <f>IFERROR(IF(_xlfn.XLOOKUP(#REF!, Tableau5[Code sandre], Tableau5[Code sandre],, 0) &lt;&gt; "", 1, ""), "")</f>
        <v/>
      </c>
    </row>
    <row r="304">
      <c r="A304" t="inlineStr">
        <is>
          <t>AZOTE KJELDHAL</t>
        </is>
      </c>
      <c r="C304" s="1" t="n">
        <v>1319</v>
      </c>
      <c r="E304">
        <f>IFERROR(IF(_xlfn.XLOOKUP(#REF!, Tableau5[Code sandre], Tableau5[Code sandre],, 0) &lt;&gt; "", 1, ""), "")</f>
        <v/>
      </c>
    </row>
    <row r="305">
      <c r="A305" t="inlineStr">
        <is>
          <t>AZOTE_AMMONIACAL</t>
        </is>
      </c>
      <c r="B305" t="inlineStr">
        <is>
          <t>14798-03-9</t>
        </is>
      </c>
      <c r="C305" s="1" t="n">
        <v>1335</v>
      </c>
      <c r="D305" t="inlineStr">
        <is>
          <t>BENZ</t>
        </is>
      </c>
      <c r="E305">
        <f>IFERROR(IF(_xlfn.XLOOKUP(#REF!, Tableau5[Code sandre], Tableau5[Code sandre],, 0) &lt;&gt; "", 1, ""), "")</f>
        <v/>
      </c>
    </row>
    <row r="306">
      <c r="A306" t="inlineStr">
        <is>
          <t>AZOTE_GLOBAL</t>
        </is>
      </c>
      <c r="C306" s="1" t="n">
        <v>1551</v>
      </c>
      <c r="D306" t="inlineStr">
        <is>
          <t>BRTOT</t>
        </is>
      </c>
      <c r="E306">
        <f>IFERROR(IF(_xlfn.XLOOKUP(#REF!, Tableau5[Code sandre], Tableau5[Code sandre],, 0) &lt;&gt; "", 1, ""), "")</f>
        <v/>
      </c>
    </row>
    <row r="307">
      <c r="A307" t="inlineStr">
        <is>
          <t>AZOTE_OXYDE</t>
        </is>
      </c>
      <c r="C307" s="1" t="n">
        <v>1038</v>
      </c>
      <c r="E307">
        <f>IFERROR(IF(_xlfn.XLOOKUP(#REF!, Tableau5[Code sandre], Tableau5[Code sandre],, 0) &lt;&gt; "", 1, ""), "")</f>
        <v/>
      </c>
    </row>
    <row r="308">
      <c r="A308" t="inlineStr">
        <is>
          <t>AZOTE_REDUIT</t>
        </is>
      </c>
      <c r="C308" s="1" t="n">
        <v>1319</v>
      </c>
      <c r="E308">
        <f>IFERROR(IF(_xlfn.XLOOKUP(#REF!, Tableau5[Code sandre], Tableau5[Code sandre],, 0) &lt;&gt; "", 1, ""), "")</f>
        <v/>
      </c>
    </row>
    <row r="309">
      <c r="A309" t="inlineStr">
        <is>
          <t>AZOXYSTROBINE</t>
        </is>
      </c>
      <c r="B309" t="inlineStr">
        <is>
          <t>131860-33-8</t>
        </is>
      </c>
      <c r="C309" s="1" t="n">
        <v>1951</v>
      </c>
      <c r="E309">
        <f>IFERROR(IF(_xlfn.XLOOKUP(#REF!, Tableau5[Code sandre], Tableau5[Code sandre],, 0) &lt;&gt; "", 1, ""), "")</f>
        <v/>
      </c>
    </row>
    <row r="310">
      <c r="A310" t="inlineStr">
        <is>
          <t>AZOXYSTROBINE_ST</t>
        </is>
      </c>
      <c r="C310" s="1" t="n">
        <v>1951</v>
      </c>
      <c r="E310">
        <f>IFERROR(IF(_xlfn.XLOOKUP(#REF!, Tableau5[Code sandre], Tableau5[Code sandre],, 0) &lt;&gt; "", 1, ""), "")</f>
        <v/>
      </c>
    </row>
    <row r="311">
      <c r="A311" t="inlineStr">
        <is>
          <t>BACTERIES_SULFATO_REDUCTRICES</t>
        </is>
      </c>
      <c r="C311" s="1" t="n">
        <v>6285</v>
      </c>
      <c r="E311">
        <f>IFERROR(IF(_xlfn.XLOOKUP(#REF!, Tableau5[Code sandre], Tableau5[Code sandre],, 0) &lt;&gt; "", 1, ""), "")</f>
        <v/>
      </c>
    </row>
    <row r="312">
      <c r="A312" t="inlineStr">
        <is>
          <t>BACTERIES_SULFITO_REDUCTRICES</t>
        </is>
      </c>
      <c r="C312" s="1" t="n">
        <v>1042</v>
      </c>
      <c r="E312">
        <f>IFERROR(IF(_xlfn.XLOOKUP(#REF!, Tableau5[Code sandre], Tableau5[Code sandre],, 0) &lt;&gt; "", 1, ""), "")</f>
        <v/>
      </c>
    </row>
    <row r="313">
      <c r="A313" t="inlineStr">
        <is>
          <t>BACTERIES-THIOSULFATO-REDUCTICES</t>
        </is>
      </c>
      <c r="C313" s="1" t="n">
        <v>6626</v>
      </c>
      <c r="E313">
        <f>IFERROR(IF(_xlfn.XLOOKUP(#REF!, Tableau5[Code sandre], Tableau5[Code sandre],, 0) &lt;&gt; "", 1, ""), "")</f>
        <v/>
      </c>
    </row>
    <row r="314">
      <c r="A314" t="inlineStr">
        <is>
          <t>BARYUM</t>
        </is>
      </c>
      <c r="C314" s="1" t="n">
        <v>1396</v>
      </c>
      <c r="E314">
        <f>IFERROR(IF(_xlfn.XLOOKUP(#REF!, Tableau5[Code sandre], Tableau5[Code sandre],, 0) &lt;&gt; "", 1, ""), "")</f>
        <v/>
      </c>
    </row>
    <row r="315">
      <c r="A315" t="inlineStr">
        <is>
          <t>BARYUM_ST</t>
        </is>
      </c>
      <c r="C315" s="1" t="n">
        <v>1396</v>
      </c>
      <c r="E315">
        <f>IFERROR(IF(_xlfn.XLOOKUP(#REF!, Tableau5[Code sandre], Tableau5[Code sandre],, 0) &lt;&gt; "", 1, ""), "")</f>
        <v/>
      </c>
    </row>
    <row r="316">
      <c r="A316" t="inlineStr">
        <is>
          <t>BEFLUBUTAMIDE</t>
        </is>
      </c>
      <c r="B316" t="inlineStr">
        <is>
          <t>113614-08-7</t>
        </is>
      </c>
      <c r="C316" s="1" t="n">
        <v>7522</v>
      </c>
      <c r="E316">
        <f>IFERROR(IF(_xlfn.XLOOKUP(#REF!, Tableau5[Code sandre], Tableau5[Code sandre],, 0) &lt;&gt; "", 1, ""), "")</f>
        <v/>
      </c>
    </row>
    <row r="317">
      <c r="A317" t="inlineStr">
        <is>
          <t>BENALAXYL</t>
        </is>
      </c>
      <c r="B317" t="inlineStr">
        <is>
          <t>71626-11-4</t>
        </is>
      </c>
      <c r="C317" s="1" t="n">
        <v>1687</v>
      </c>
      <c r="E317">
        <f>IFERROR(IF(_xlfn.XLOOKUP(#REF!, Tableau5[Code sandre], Tableau5[Code sandre],, 0) &lt;&gt; "", 1, ""), "")</f>
        <v/>
      </c>
    </row>
    <row r="318">
      <c r="A318" t="inlineStr">
        <is>
          <t>BENDIOCARB</t>
        </is>
      </c>
      <c r="B318" t="inlineStr">
        <is>
          <t>22781-23-3</t>
        </is>
      </c>
      <c r="C318" s="1" t="n">
        <v>1329</v>
      </c>
      <c r="E318">
        <f>IFERROR(IF(_xlfn.XLOOKUP(#REF!, Tableau5[Code sandre], Tableau5[Code sandre],, 0) &lt;&gt; "", 1, ""), "")</f>
        <v/>
      </c>
    </row>
    <row r="319">
      <c r="A319" t="inlineStr">
        <is>
          <t>BENFLURALINE</t>
        </is>
      </c>
      <c r="B319" t="inlineStr">
        <is>
          <t>1861-40-1</t>
        </is>
      </c>
      <c r="C319" s="1" t="n">
        <v>1112</v>
      </c>
      <c r="E319">
        <f>IFERROR(IF(_xlfn.XLOOKUP(#REF!, Tableau5[Code sandre], Tableau5[Code sandre],, 0) &lt;&gt; "", 1, ""), "")</f>
        <v/>
      </c>
    </row>
    <row r="320">
      <c r="A320" t="inlineStr">
        <is>
          <t>BENOXACOR</t>
        </is>
      </c>
      <c r="B320" t="inlineStr">
        <is>
          <t>98730-04-2</t>
        </is>
      </c>
      <c r="C320" s="1" t="n">
        <v>2074</v>
      </c>
      <c r="E320">
        <f>IFERROR(IF(_xlfn.XLOOKUP(#REF!, Tableau5[Code sandre], Tableau5[Code sandre],, 0) &lt;&gt; "", 1, ""), "")</f>
        <v/>
      </c>
    </row>
    <row r="321">
      <c r="A321" t="inlineStr">
        <is>
          <t>BENTAZONE</t>
        </is>
      </c>
      <c r="B321" t="inlineStr">
        <is>
          <t>25057-89-0</t>
        </is>
      </c>
      <c r="C321" s="1" t="n">
        <v>1113</v>
      </c>
      <c r="E321">
        <f>IFERROR(IF(_xlfn.XLOOKUP(#REF!, Tableau5[Code sandre], Tableau5[Code sandre],, 0) &lt;&gt; "", 1, ""), "")</f>
        <v/>
      </c>
    </row>
    <row r="322">
      <c r="A322" t="inlineStr">
        <is>
          <t>BENTAZONE_ST</t>
        </is>
      </c>
      <c r="C322" s="1" t="n">
        <v>1113</v>
      </c>
      <c r="E322">
        <f>IFERROR(IF(_xlfn.XLOOKUP(#REF!, Tableau5[Code sandre], Tableau5[Code sandre],, 0) &lt;&gt; "", 1, ""), "")</f>
        <v/>
      </c>
    </row>
    <row r="323">
      <c r="A323" t="inlineStr">
        <is>
          <t>BENZENE</t>
        </is>
      </c>
      <c r="B323" t="inlineStr">
        <is>
          <t>71-43-2</t>
        </is>
      </c>
      <c r="C323" s="1" t="n">
        <v>1114</v>
      </c>
      <c r="E323">
        <f>IFERROR(IF(_xlfn.XLOOKUP(#REF!, Tableau5[Code sandre], Tableau5[Code sandre],, 0) &lt;&gt; "", 1, ""), "")</f>
        <v/>
      </c>
    </row>
    <row r="324">
      <c r="A324" t="inlineStr">
        <is>
          <t>BENZIDINE</t>
        </is>
      </c>
      <c r="B324" t="inlineStr">
        <is>
          <t>92-87-5</t>
        </is>
      </c>
      <c r="C324" s="1" t="n">
        <v>1607</v>
      </c>
      <c r="E324">
        <f>IFERROR(IF(_xlfn.XLOOKUP(#REF!, Tableau5[Code sandre], Tableau5[Code sandre],, 0) &lt;&gt; "", 1, ""), "")</f>
        <v/>
      </c>
    </row>
    <row r="325">
      <c r="A325" t="inlineStr">
        <is>
          <t>BENZISOTHIAZOLINONE_BIT</t>
        </is>
      </c>
      <c r="B325" t="inlineStr">
        <is>
          <t xml:space="preserve"> 2634-33-5</t>
        </is>
      </c>
      <c r="C325" s="1" t="n">
        <v>8306</v>
      </c>
      <c r="E325">
        <f>IFERROR(IF(_xlfn.XLOOKUP(#REF!, Tableau5[Code sandre], Tableau5[Code sandre],, 0) &lt;&gt; "", 1, ""), "")</f>
        <v/>
      </c>
    </row>
    <row r="326">
      <c r="A326" t="inlineStr">
        <is>
          <t>BENZO-A-ANTHRACENE</t>
        </is>
      </c>
      <c r="B326" t="inlineStr">
        <is>
          <t>56-55-3</t>
        </is>
      </c>
      <c r="C326" s="1" t="n">
        <v>1082</v>
      </c>
      <c r="E326">
        <f>IFERROR(IF(_xlfn.XLOOKUP(#REF!, Tableau5[Code sandre], Tableau5[Code sandre],, 0) &lt;&gt; "", 1, ""), "")</f>
        <v/>
      </c>
    </row>
    <row r="327">
      <c r="A327" t="inlineStr">
        <is>
          <t>BENZO-A-PYRENE</t>
        </is>
      </c>
      <c r="B327" t="inlineStr">
        <is>
          <t>50-32-8</t>
        </is>
      </c>
      <c r="C327" s="1" t="n">
        <v>1115</v>
      </c>
      <c r="E327">
        <f>IFERROR(IF(_xlfn.XLOOKUP(#REF!, Tableau5[Code sandre], Tableau5[Code sandre],, 0) &lt;&gt; "", 1, ""), "")</f>
        <v/>
      </c>
    </row>
    <row r="328">
      <c r="A328" t="inlineStr">
        <is>
          <t>BENZO-B-FLUORANTHENE</t>
        </is>
      </c>
      <c r="B328" t="inlineStr">
        <is>
          <t>205-99-2</t>
        </is>
      </c>
      <c r="C328" s="1" t="n">
        <v>1116</v>
      </c>
      <c r="E328">
        <f>IFERROR(IF(_xlfn.XLOOKUP(#REF!, Tableau5[Code sandre], Tableau5[Code sandre],, 0) &lt;&gt; "", 1, ""), "")</f>
        <v/>
      </c>
    </row>
    <row r="329">
      <c r="A329" t="inlineStr">
        <is>
          <t>BENZO-E-PYRENE</t>
        </is>
      </c>
      <c r="B329" t="inlineStr">
        <is>
          <t>192-97-2</t>
        </is>
      </c>
      <c r="C329" s="1" t="n">
        <v>1460</v>
      </c>
      <c r="E329">
        <f>IFERROR(IF(_xlfn.XLOOKUP(#REF!, Tableau5[Code sandre], Tableau5[Code sandre],, 0) &lt;&gt; "", 1, ""), "")</f>
        <v/>
      </c>
    </row>
    <row r="330">
      <c r="A330" t="inlineStr">
        <is>
          <t>BENZO-GHI-PERYLENE</t>
        </is>
      </c>
      <c r="B330" t="inlineStr">
        <is>
          <t>191-24-2</t>
        </is>
      </c>
      <c r="C330" s="1" t="n">
        <v>1118</v>
      </c>
      <c r="E330">
        <f>IFERROR(IF(_xlfn.XLOOKUP(#REF!, Tableau5[Code sandre], Tableau5[Code sandre],, 0) &lt;&gt; "", 1, ""), "")</f>
        <v/>
      </c>
    </row>
    <row r="331">
      <c r="A331" t="inlineStr">
        <is>
          <t>BENZOJFLUORANTHENE</t>
        </is>
      </c>
      <c r="B331" t="inlineStr">
        <is>
          <t>205-82-3</t>
        </is>
      </c>
      <c r="C331" s="1" t="n">
        <v>1733</v>
      </c>
      <c r="E331">
        <f>IFERROR(IF(_xlfn.XLOOKUP(#REF!, Tableau5[Code sandre], Tableau5[Code sandre],, 0) &lt;&gt; "", 1, ""), "")</f>
        <v/>
      </c>
    </row>
    <row r="332">
      <c r="A332" t="inlineStr">
        <is>
          <t>BENZO-J-FLUORANTHENE</t>
        </is>
      </c>
      <c r="B332" t="inlineStr">
        <is>
          <t>205-82-3</t>
        </is>
      </c>
      <c r="C332" s="1" t="n">
        <v>1733</v>
      </c>
      <c r="E332">
        <f>IFERROR(IF(_xlfn.XLOOKUP(#REF!, Tableau5[Code sandre], Tableau5[Code sandre],, 0) &lt;&gt; "", 1, ""), "")</f>
        <v/>
      </c>
    </row>
    <row r="333">
      <c r="A333" t="inlineStr">
        <is>
          <t>BENZO-K-FLUORANTHENE</t>
        </is>
      </c>
      <c r="B333" t="inlineStr">
        <is>
          <t>207-08-9</t>
        </is>
      </c>
      <c r="C333" s="1" t="n">
        <v>1117</v>
      </c>
      <c r="D333" t="inlineStr">
        <is>
          <t>ADET2</t>
        </is>
      </c>
      <c r="E333">
        <f>IFERROR(IF(_xlfn.XLOOKUP(#REF!, Tableau5[Code sandre], Tableau5[Code sandre],, 0) &lt;&gt; "", 1, ""), "")</f>
        <v/>
      </c>
    </row>
    <row r="334">
      <c r="A334" t="inlineStr">
        <is>
          <t>BENZOTHIAZOLE</t>
        </is>
      </c>
      <c r="B334" t="inlineStr">
        <is>
          <t>95-16-9</t>
        </is>
      </c>
      <c r="C334" s="1" t="n">
        <v>3312</v>
      </c>
      <c r="D334" t="inlineStr">
        <is>
          <t>AD2H</t>
        </is>
      </c>
      <c r="E334">
        <f>IFERROR(IF(_xlfn.XLOOKUP(#REF!, Tableau5[Code sandre], Tableau5[Code sandre],, 0) &lt;&gt; "", 1, ""), "")</f>
        <v/>
      </c>
    </row>
    <row r="335">
      <c r="A335" t="inlineStr">
        <is>
          <t>BENZOTRIAZOLE</t>
        </is>
      </c>
      <c r="B335" t="inlineStr">
        <is>
          <t>95-14-7</t>
        </is>
      </c>
      <c r="C335" s="1" t="n">
        <v>7543</v>
      </c>
      <c r="D335" t="inlineStr">
        <is>
          <t>AD2H</t>
        </is>
      </c>
      <c r="E335">
        <f>IFERROR(IF(_xlfn.XLOOKUP(#REF!, Tableau5[Code sandre], Tableau5[Code sandre],, 0) &lt;&gt; "", 1, ""), "")</f>
        <v/>
      </c>
    </row>
    <row r="336">
      <c r="A336" t="inlineStr">
        <is>
          <t>BENZOVINDIFLUPYR</t>
        </is>
      </c>
      <c r="B336" t="inlineStr">
        <is>
          <t>1072957-71-1</t>
        </is>
      </c>
      <c r="C336" s="1" t="n">
        <v>8042</v>
      </c>
      <c r="E336">
        <f>IFERROR(IF(_xlfn.XLOOKUP(#REF!, Tableau5[Code sandre], Tableau5[Code sandre],, 0) &lt;&gt; "", 1, ""), "")</f>
        <v/>
      </c>
    </row>
    <row r="337">
      <c r="A337" t="inlineStr">
        <is>
          <t>BENZOYLECGONINE</t>
        </is>
      </c>
      <c r="B337" t="inlineStr">
        <is>
          <t>519-09-5</t>
        </is>
      </c>
      <c r="C337" s="1" t="n">
        <v>7612</v>
      </c>
      <c r="D337" t="inlineStr">
        <is>
          <t>AS</t>
        </is>
      </c>
      <c r="E337">
        <f>IFERROR(IF(_xlfn.XLOOKUP(#REF!, Tableau5[Code sandre], Tableau5[Code sandre],, 0) &lt;&gt; "", 1, ""), "")</f>
        <v/>
      </c>
    </row>
    <row r="338">
      <c r="A338" t="inlineStr">
        <is>
          <t>BERYLLIUM</t>
        </is>
      </c>
      <c r="C338" s="1" t="n">
        <v>1377</v>
      </c>
      <c r="E338">
        <f>IFERROR(IF(_xlfn.XLOOKUP(#REF!, Tableau5[Code sandre], Tableau5[Code sandre],, 0) &lt;&gt; "", 1, ""), "")</f>
        <v/>
      </c>
    </row>
    <row r="339">
      <c r="A339" t="inlineStr">
        <is>
          <t>BETA_CYFLUTHRINE</t>
        </is>
      </c>
      <c r="B339" t="inlineStr">
        <is>
          <t>1820573-27-0</t>
        </is>
      </c>
      <c r="C339" s="1" t="n">
        <v>3209</v>
      </c>
      <c r="E339">
        <f>IFERROR(IF(_xlfn.XLOOKUP(#REF!, Tableau5[Code sandre], Tableau5[Code sandre],, 0) &lt;&gt; "", 1, ""), "")</f>
        <v/>
      </c>
    </row>
    <row r="340">
      <c r="A340" t="inlineStr">
        <is>
          <t>BEZAFIBRATE</t>
        </is>
      </c>
      <c r="B340" t="inlineStr">
        <is>
          <t>41859-67-0</t>
        </is>
      </c>
      <c r="C340" s="1" t="n">
        <v>5366</v>
      </c>
      <c r="D340" t="inlineStr">
        <is>
          <t>BCYFLTH</t>
        </is>
      </c>
      <c r="E340">
        <f>IFERROR(IF(_xlfn.XLOOKUP(#REF!, Tableau5[Code sandre], Tableau5[Code sandre],, 0) &lt;&gt; "", 1, ""), "")</f>
        <v/>
      </c>
    </row>
    <row r="341">
      <c r="A341" t="inlineStr">
        <is>
          <t>BFDGE</t>
        </is>
      </c>
      <c r="B341" t="inlineStr">
        <is>
          <t xml:space="preserve">2095-03-6 </t>
        </is>
      </c>
      <c r="C341" s="1" t="n">
        <v>7070</v>
      </c>
      <c r="E341">
        <f>IFERROR(IF(_xlfn.XLOOKUP(#REF!, Tableau5[Code sandre], Tableau5[Code sandre],, 0) &lt;&gt; "", 1, ""), "")</f>
        <v/>
      </c>
    </row>
    <row r="342">
      <c r="A342" t="inlineStr">
        <is>
          <t>BIFENOX</t>
        </is>
      </c>
      <c r="B342" t="inlineStr">
        <is>
          <t>42576-02-3</t>
        </is>
      </c>
      <c r="C342" s="1" t="n">
        <v>1119</v>
      </c>
      <c r="E342">
        <f>IFERROR(IF(_xlfn.XLOOKUP(#REF!, Tableau5[Code sandre], Tableau5[Code sandre],, 0) &lt;&gt; "", 1, ""), "")</f>
        <v/>
      </c>
    </row>
    <row r="343">
      <c r="A343" t="inlineStr">
        <is>
          <t>BIFENOX_ST</t>
        </is>
      </c>
      <c r="C343" s="1" t="n">
        <v>1119</v>
      </c>
      <c r="E343">
        <f>IFERROR(IF(_xlfn.XLOOKUP(#REF!, Tableau5[Code sandre], Tableau5[Code sandre],, 0) &lt;&gt; "", 1, ""), "")</f>
        <v/>
      </c>
    </row>
    <row r="344">
      <c r="A344" t="inlineStr">
        <is>
          <t>BIFENTHRINE</t>
        </is>
      </c>
      <c r="B344" t="inlineStr">
        <is>
          <t>82657-04-3</t>
        </is>
      </c>
      <c r="C344" s="1" t="n">
        <v>1120</v>
      </c>
      <c r="E344">
        <f>IFERROR(IF(_xlfn.XLOOKUP(#REF!, Tableau5[Code sandre], Tableau5[Code sandre],, 0) &lt;&gt; "", 1, ""), "")</f>
        <v/>
      </c>
    </row>
    <row r="345">
      <c r="A345" t="inlineStr">
        <is>
          <t>BIPHENYLE</t>
        </is>
      </c>
      <c r="B345" t="inlineStr">
        <is>
          <t>92-52-4</t>
        </is>
      </c>
      <c r="C345" s="1" t="n">
        <v>1584</v>
      </c>
      <c r="E345">
        <f>IFERROR(IF(_xlfn.XLOOKUP(#REF!, Tableau5[Code sandre], Tableau5[Code sandre],, 0) &lt;&gt; "", 1, ""), "")</f>
        <v/>
      </c>
    </row>
    <row r="346">
      <c r="A346" t="inlineStr">
        <is>
          <t>BIPHENYLE_ST</t>
        </is>
      </c>
      <c r="C346" s="1" t="n">
        <v>1584</v>
      </c>
      <c r="E346">
        <f>IFERROR(IF(_xlfn.XLOOKUP(#REF!, Tableau5[Code sandre], Tableau5[Code sandre],, 0) &lt;&gt; "", 1, ""), "")</f>
        <v/>
      </c>
    </row>
    <row r="347">
      <c r="A347" t="inlineStr">
        <is>
          <t>BISMUTH</t>
        </is>
      </c>
      <c r="C347" s="1" t="n">
        <v>5428</v>
      </c>
      <c r="E347">
        <f>IFERROR(IF(_xlfn.XLOOKUP(#REF!, Tableau5[Code sandre], Tableau5[Code sandre],, 0) &lt;&gt; "", 1, ""), "")</f>
        <v/>
      </c>
    </row>
    <row r="348">
      <c r="A348" t="inlineStr">
        <is>
          <t>BISMUTH_1</t>
        </is>
      </c>
      <c r="B348" t="inlineStr">
        <is>
          <t>7440-69-9</t>
        </is>
      </c>
      <c r="C348" s="1" t="n">
        <v>5428</v>
      </c>
      <c r="E348">
        <f>IFERROR(IF(_xlfn.XLOOKUP(#REF!, Tableau5[Code sandre], Tableau5[Code sandre],, 0) &lt;&gt; "", 1, ""), "")</f>
        <v/>
      </c>
    </row>
    <row r="349">
      <c r="A349" t="inlineStr">
        <is>
          <t>BISMUTH_2</t>
        </is>
      </c>
      <c r="B349" t="inlineStr">
        <is>
          <t>7440-69-9</t>
        </is>
      </c>
      <c r="C349" s="1" t="n">
        <v>5428</v>
      </c>
      <c r="E349">
        <f>IFERROR(IF(_xlfn.XLOOKUP(#REF!, Tableau5[Code sandre], Tableau5[Code sandre],, 0) &lt;&gt; "", 1, ""), "")</f>
        <v/>
      </c>
    </row>
    <row r="350">
      <c r="A350" t="inlineStr">
        <is>
          <t>BISPHENOL_A</t>
        </is>
      </c>
      <c r="C350" s="1" t="n">
        <v>2766</v>
      </c>
      <c r="E350">
        <f>IFERROR(IF(_xlfn.XLOOKUP(#REF!, Tableau5[Code sandre], Tableau5[Code sandre],, 0) &lt;&gt; "", 1, ""), "")</f>
        <v/>
      </c>
    </row>
    <row r="351">
      <c r="A351" t="inlineStr">
        <is>
          <t>BISPHENOL_AF</t>
        </is>
      </c>
      <c r="B351" t="inlineStr">
        <is>
          <t xml:space="preserve"> 80-05-7</t>
        </is>
      </c>
      <c r="C351" s="1" t="n">
        <v>2766</v>
      </c>
      <c r="E351">
        <f>IFERROR(IF(_xlfn.XLOOKUP(#REF!, Tableau5[Code sandre], Tableau5[Code sandre],, 0) &lt;&gt; "", 1, ""), "")</f>
        <v/>
      </c>
    </row>
    <row r="352">
      <c r="A352" t="inlineStr">
        <is>
          <t>BISPHENOL_F</t>
        </is>
      </c>
      <c r="B352" t="inlineStr">
        <is>
          <t>620-92-8</t>
        </is>
      </c>
      <c r="C352" s="1" t="n">
        <v>7068</v>
      </c>
      <c r="E352">
        <f>IFERROR(IF(_xlfn.XLOOKUP(#REF!, Tableau5[Code sandre], Tableau5[Code sandre],, 0) &lt;&gt; "", 1, ""), "")</f>
        <v/>
      </c>
    </row>
    <row r="353">
      <c r="A353" t="inlineStr">
        <is>
          <t>BISPHENOL_S</t>
        </is>
      </c>
      <c r="B353" t="inlineStr">
        <is>
          <t>80-09-1</t>
        </is>
      </c>
      <c r="C353" s="1" t="n">
        <v>7594</v>
      </c>
      <c r="E353">
        <f>IFERROR(IF(_xlfn.XLOOKUP(#REF!, Tableau5[Code sandre], Tableau5[Code sandre],, 0) &lt;&gt; "", 1, ""), "")</f>
        <v/>
      </c>
    </row>
    <row r="354">
      <c r="A354" t="inlineStr">
        <is>
          <t>BITERTANOL</t>
        </is>
      </c>
      <c r="C354" s="1" t="n">
        <v>1529</v>
      </c>
      <c r="E354">
        <f>IFERROR(IF(_xlfn.XLOOKUP(#REF!, Tableau5[Code sandre], Tableau5[Code sandre],, 0) &lt;&gt; "", 1, ""), "")</f>
        <v/>
      </c>
    </row>
    <row r="355">
      <c r="A355" t="inlineStr">
        <is>
          <t>BIURET</t>
        </is>
      </c>
      <c r="B355" t="inlineStr">
        <is>
          <t>108-19-0</t>
        </is>
      </c>
      <c r="C355" s="1" t="n">
        <v>9226</v>
      </c>
      <c r="E355">
        <f>IFERROR(IF(_xlfn.XLOOKUP(#REF!, Tableau5[Code sandre], Tableau5[Code sandre],, 0) &lt;&gt; "", 1, ""), "")</f>
        <v/>
      </c>
    </row>
    <row r="356">
      <c r="A356" t="inlineStr">
        <is>
          <t>BIXAFEN</t>
        </is>
      </c>
      <c r="C356" s="1" t="n">
        <v>7345</v>
      </c>
      <c r="E356">
        <f>IFERROR(IF(_xlfn.XLOOKUP(#REF!, Tableau5[Code sandre], Tableau5[Code sandre],, 0) &lt;&gt; "", 1, ""), "")</f>
        <v/>
      </c>
    </row>
    <row r="357">
      <c r="A357" t="inlineStr">
        <is>
          <t>BORE</t>
        </is>
      </c>
      <c r="C357" s="1" t="n">
        <v>1362</v>
      </c>
      <c r="E357">
        <f>IFERROR(IF(_xlfn.XLOOKUP(#REF!, Tableau5[Code sandre], Tableau5[Code sandre],, 0) &lt;&gt; "", 1, ""), "")</f>
        <v/>
      </c>
    </row>
    <row r="358">
      <c r="A358" t="inlineStr">
        <is>
          <t>BOSCALID</t>
        </is>
      </c>
      <c r="B358" t="inlineStr">
        <is>
          <t>188425-85-6</t>
        </is>
      </c>
      <c r="C358" s="1" t="n">
        <v>5526</v>
      </c>
      <c r="E358">
        <f>IFERROR(IF(_xlfn.XLOOKUP(#REF!, Tableau5[Code sandre], Tableau5[Code sandre],, 0) &lt;&gt; "", 1, ""), "")</f>
        <v/>
      </c>
    </row>
    <row r="359">
      <c r="A359" t="inlineStr">
        <is>
          <t>BOSCALID_ST</t>
        </is>
      </c>
      <c r="C359" s="1" t="n">
        <v>5526</v>
      </c>
      <c r="E359">
        <f>IFERROR(IF(_xlfn.XLOOKUP(#REF!, Tableau5[Code sandre], Tableau5[Code sandre],, 0) &lt;&gt; "", 1, ""), "")</f>
        <v/>
      </c>
    </row>
    <row r="360">
      <c r="A360" t="inlineStr">
        <is>
          <t>BRODIFACOUM</t>
        </is>
      </c>
      <c r="B360" t="inlineStr">
        <is>
          <t>56073-10-0</t>
        </is>
      </c>
      <c r="C360" s="1" t="n">
        <v>5546</v>
      </c>
      <c r="E360">
        <f>IFERROR(IF(_xlfn.XLOOKUP(#REF!, Tableau5[Code sandre], Tableau5[Code sandre],, 0) &lt;&gt; "", 1, ""), "")</f>
        <v/>
      </c>
    </row>
    <row r="361">
      <c r="A361" t="inlineStr">
        <is>
          <t>BROMACILE</t>
        </is>
      </c>
      <c r="B361" t="inlineStr">
        <is>
          <t>314-40-9</t>
        </is>
      </c>
      <c r="C361" s="1" t="n">
        <v>1686</v>
      </c>
      <c r="E361">
        <f>IFERROR(IF(_xlfn.XLOOKUP(#REF!, Tableau5[Code sandre], Tableau5[Code sandre],, 0) &lt;&gt; "", 1, ""), "")</f>
        <v/>
      </c>
    </row>
    <row r="362">
      <c r="A362" t="inlineStr">
        <is>
          <t>BROMADIOLONE</t>
        </is>
      </c>
      <c r="B362" t="inlineStr">
        <is>
          <t>28772-56-7</t>
        </is>
      </c>
      <c r="C362" s="1" t="n">
        <v>1859</v>
      </c>
      <c r="E362">
        <f>IFERROR(IF(_xlfn.XLOOKUP(#REF!, Tableau5[Code sandre], Tableau5[Code sandre],, 0) &lt;&gt; "", 1, ""), "")</f>
        <v/>
      </c>
    </row>
    <row r="363">
      <c r="A363" t="inlineStr">
        <is>
          <t>BROMATES</t>
        </is>
      </c>
      <c r="B363" t="inlineStr">
        <is>
          <t>15541-45-4</t>
        </is>
      </c>
      <c r="C363" s="1" t="n">
        <v>1751</v>
      </c>
      <c r="D363" t="inlineStr">
        <is>
          <t>BBFLUO</t>
        </is>
      </c>
      <c r="E363">
        <f>IFERROR(IF(_xlfn.XLOOKUP(#REF!, Tableau5[Code sandre], Tableau5[Code sandre],, 0) &lt;&gt; "", 1, ""), "")</f>
        <v/>
      </c>
    </row>
    <row r="364">
      <c r="A364" t="inlineStr">
        <is>
          <t>BROMAZEPAM</t>
        </is>
      </c>
      <c r="B364" t="inlineStr">
        <is>
          <t>1812-30-2</t>
        </is>
      </c>
      <c r="C364" s="1" t="n">
        <v>5371</v>
      </c>
      <c r="E364">
        <f>IFERROR(IF(_xlfn.XLOOKUP(#REF!, Tableau5[Code sandre], Tableau5[Code sandre],, 0) &lt;&gt; "", 1, ""), "")</f>
        <v/>
      </c>
    </row>
    <row r="365">
      <c r="A365" t="inlineStr">
        <is>
          <t>BROME_TOTAL_IN_SITU_PISCINE</t>
        </is>
      </c>
      <c r="B365" t="inlineStr">
        <is>
          <t>7726-95-6</t>
        </is>
      </c>
      <c r="C365" s="1" t="n">
        <v>1378</v>
      </c>
      <c r="E365">
        <f>IFERROR(IF(_xlfn.XLOOKUP(#REF!, Tableau5[Code sandre], Tableau5[Code sandre],, 0) &lt;&gt; "", 1, ""), "")</f>
        <v/>
      </c>
    </row>
    <row r="366">
      <c r="A366" t="inlineStr">
        <is>
          <t>BROMOCHLOROACETONITRILE</t>
        </is>
      </c>
      <c r="B366" t="inlineStr">
        <is>
          <t>83463-62-1</t>
        </is>
      </c>
      <c r="C366" s="1" t="n">
        <v>1734</v>
      </c>
      <c r="E366">
        <f>IFERROR(IF(_xlfn.XLOOKUP(#REF!, Tableau5[Code sandre], Tableau5[Code sandre],, 0) &lt;&gt; "", 1, ""), "")</f>
        <v/>
      </c>
    </row>
    <row r="367">
      <c r="A367" t="inlineStr">
        <is>
          <t>BROMOCHLOROIODOMETHANE</t>
        </is>
      </c>
      <c r="B367" t="inlineStr">
        <is>
          <t>34970-00-8'</t>
        </is>
      </c>
      <c r="C367" s="1" t="n">
        <v>7063</v>
      </c>
      <c r="E367">
        <f>IFERROR(IF(_xlfn.XLOOKUP(#REF!, Tableau5[Code sandre], Tableau5[Code sandre],, 0) &lt;&gt; "", 1, ""), "")</f>
        <v/>
      </c>
    </row>
    <row r="368">
      <c r="A368" t="inlineStr">
        <is>
          <t>BROMOCHLOROMETHANE</t>
        </is>
      </c>
      <c r="B368" t="inlineStr">
        <is>
          <t>74-97-5</t>
        </is>
      </c>
      <c r="C368" s="1" t="n">
        <v>1121</v>
      </c>
      <c r="E368">
        <f>IFERROR(IF(_xlfn.XLOOKUP(#REF!, Tableau5[Code sandre], Tableau5[Code sandre],, 0) &lt;&gt; "", 1, ""), "")</f>
        <v/>
      </c>
    </row>
    <row r="369">
      <c r="A369" t="inlineStr">
        <is>
          <t>BROMOFORME</t>
        </is>
      </c>
      <c r="B369" t="inlineStr">
        <is>
          <t>75-25-2</t>
        </is>
      </c>
      <c r="C369" s="1" t="n">
        <v>1122</v>
      </c>
      <c r="D369" t="inlineStr">
        <is>
          <t>AS</t>
        </is>
      </c>
      <c r="E369">
        <f>IFERROR(IF(_xlfn.XLOOKUP(#REF!, Tableau5[Code sandre], Tableau5[Code sandre],, 0) &lt;&gt; "", 1, ""), "")</f>
        <v/>
      </c>
    </row>
    <row r="370">
      <c r="A370" t="inlineStr">
        <is>
          <t>BROMOPHOS_ETHYL</t>
        </is>
      </c>
      <c r="B370" t="inlineStr">
        <is>
          <t>4824-78-6</t>
        </is>
      </c>
      <c r="C370" s="1" t="n">
        <v>1123</v>
      </c>
      <c r="E370">
        <f>IFERROR(IF(_xlfn.XLOOKUP(#REF!, Tableau5[Code sandre], Tableau5[Code sandre],, 0) &lt;&gt; "", 1, ""), "")</f>
        <v/>
      </c>
    </row>
    <row r="371">
      <c r="A371" t="inlineStr">
        <is>
          <t>BROMOPHOS_METHYL</t>
        </is>
      </c>
      <c r="B371" t="inlineStr">
        <is>
          <t>2104-96-3</t>
        </is>
      </c>
      <c r="C371" s="1" t="n">
        <v>1124</v>
      </c>
      <c r="E371">
        <f>IFERROR(IF(_xlfn.XLOOKUP(#REF!, Tableau5[Code sandre], Tableau5[Code sandre],, 0) &lt;&gt; "", 1, ""), "")</f>
        <v/>
      </c>
    </row>
    <row r="372">
      <c r="A372" t="inlineStr">
        <is>
          <t>BROMOTRICHLOROMETHANE</t>
        </is>
      </c>
      <c r="B372" t="inlineStr">
        <is>
          <t>75-62-7</t>
        </is>
      </c>
      <c r="C372" s="1" t="n">
        <v>5884</v>
      </c>
      <c r="E372">
        <f>IFERROR(IF(_xlfn.XLOOKUP(#REF!, Tableau5[Code sandre], Tableau5[Code sandre],, 0) &lt;&gt; "", 1, ""), "")</f>
        <v/>
      </c>
    </row>
    <row r="373">
      <c r="A373" t="inlineStr">
        <is>
          <t>BROMOXYNIL</t>
        </is>
      </c>
      <c r="B373" t="inlineStr">
        <is>
          <t>1689-84-5</t>
        </is>
      </c>
      <c r="C373" s="1" t="n">
        <v>1125</v>
      </c>
      <c r="E373">
        <f>IFERROR(IF(_xlfn.XLOOKUP(#REF!, Tableau5[Code sandre], Tableau5[Code sandre],, 0) &lt;&gt; "", 1, ""), "")</f>
        <v/>
      </c>
    </row>
    <row r="374">
      <c r="A374" t="inlineStr">
        <is>
          <t>BROMOXYNIL_OCTANOATE</t>
        </is>
      </c>
      <c r="B374" t="inlineStr">
        <is>
          <t>1689-99-2</t>
        </is>
      </c>
      <c r="C374" s="1" t="n">
        <v>1941</v>
      </c>
      <c r="E374">
        <f>IFERROR(IF(_xlfn.XLOOKUP(#REF!, Tableau5[Code sandre], Tableau5[Code sandre],, 0) &lt;&gt; "", 1, ""), "")</f>
        <v/>
      </c>
    </row>
    <row r="375">
      <c r="A375" t="inlineStr">
        <is>
          <t>BROMUCONAZOLE</t>
        </is>
      </c>
      <c r="B375" t="inlineStr">
        <is>
          <t>116255-48-2</t>
        </is>
      </c>
      <c r="C375" s="1" t="n">
        <v>1860</v>
      </c>
      <c r="D375" t="inlineStr">
        <is>
          <t>HYPOL05</t>
        </is>
      </c>
      <c r="E375">
        <f>IFERROR(IF(_xlfn.XLOOKUP(#REF!, Tableau5[Code sandre], Tableau5[Code sandre],, 0) &lt;&gt; "", 1, ""), "")</f>
        <v/>
      </c>
    </row>
    <row r="376">
      <c r="A376" t="inlineStr">
        <is>
          <t>BROMURES</t>
        </is>
      </c>
      <c r="B376" t="inlineStr">
        <is>
          <t>24959-67-9</t>
        </is>
      </c>
      <c r="C376" s="1" t="n">
        <v>6505</v>
      </c>
      <c r="E376">
        <f>IFERROR(IF(_xlfn.XLOOKUP(#REF!, Tableau5[Code sandre], Tableau5[Code sandre],, 0) &lt;&gt; "", 1, ""), "")</f>
        <v/>
      </c>
    </row>
    <row r="377">
      <c r="A377" t="inlineStr">
        <is>
          <t>BUPIRIMATE</t>
        </is>
      </c>
      <c r="B377" t="inlineStr">
        <is>
          <t>41483-43-6</t>
        </is>
      </c>
      <c r="C377" s="1" t="n">
        <v>1861</v>
      </c>
      <c r="E377">
        <f>IFERROR(IF(_xlfn.XLOOKUP(#REF!, Tableau5[Code sandre], Tableau5[Code sandre],, 0) &lt;&gt; "", 1, ""), "")</f>
        <v/>
      </c>
    </row>
    <row r="378">
      <c r="A378" t="inlineStr">
        <is>
          <t>BUPIVACAINE</t>
        </is>
      </c>
      <c r="B378" t="inlineStr">
        <is>
          <t>38396-39-3</t>
        </is>
      </c>
      <c r="C378" s="1" t="n">
        <v>6518</v>
      </c>
      <c r="E378">
        <f>IFERROR(IF(_xlfn.XLOOKUP(#REF!, Tableau5[Code sandre], Tableau5[Code sandre],, 0) &lt;&gt; "", 1, ""), "")</f>
        <v/>
      </c>
    </row>
    <row r="379">
      <c r="A379" t="inlineStr">
        <is>
          <t>BUTOXYDE_DE_PIPERONYLE</t>
        </is>
      </c>
      <c r="B379" t="inlineStr">
        <is>
          <t>51-03-6</t>
        </is>
      </c>
      <c r="C379" s="1" t="n">
        <v>1709</v>
      </c>
      <c r="E379">
        <f>IFERROR(IF(_xlfn.XLOOKUP(#REF!, Tableau5[Code sandre], Tableau5[Code sandre],, 0) &lt;&gt; "", 1, ""), "")</f>
        <v/>
      </c>
    </row>
    <row r="380">
      <c r="A380" t="inlineStr">
        <is>
          <t>BUTRALINE</t>
        </is>
      </c>
      <c r="B380" t="inlineStr">
        <is>
          <t>33629-47-9</t>
        </is>
      </c>
      <c r="C380" s="1" t="n">
        <v>1126</v>
      </c>
      <c r="E380">
        <f>IFERROR(IF(_xlfn.XLOOKUP(#REF!, Tableau5[Code sandre], Tableau5[Code sandre],, 0) &lt;&gt; "", 1, ""), "")</f>
        <v/>
      </c>
    </row>
    <row r="381">
      <c r="A381" t="inlineStr">
        <is>
          <t>BUTURON</t>
        </is>
      </c>
      <c r="B381" t="inlineStr">
        <is>
          <t>3766-60-7</t>
        </is>
      </c>
      <c r="C381" s="1" t="n">
        <v>1531</v>
      </c>
      <c r="E381">
        <f>IFERROR(IF(_xlfn.XLOOKUP(#REF!, Tableau5[Code sandre], Tableau5[Code sandre],, 0) &lt;&gt; "", 1, ""), "")</f>
        <v/>
      </c>
    </row>
    <row r="382">
      <c r="A382" t="inlineStr">
        <is>
          <t>BUTYL_ACRYLATE</t>
        </is>
      </c>
      <c r="B382" t="inlineStr">
        <is>
          <t>141-32-2</t>
        </is>
      </c>
      <c r="C382" s="1" t="n">
        <v>2712</v>
      </c>
      <c r="E382">
        <f>IFERROR(IF(_xlfn.XLOOKUP(#REF!, Tableau5[Code sandre], Tableau5[Code sandre],, 0) &lt;&gt; "", 1, ""), "")</f>
        <v/>
      </c>
    </row>
    <row r="383">
      <c r="A383" t="inlineStr">
        <is>
          <t>BUTYL_BENZYL_PHTALATE</t>
        </is>
      </c>
      <c r="B383" t="inlineStr">
        <is>
          <t>85-68-7</t>
        </is>
      </c>
      <c r="C383" s="1" t="n">
        <v>1924</v>
      </c>
      <c r="E383">
        <f>IFERROR(IF(_xlfn.XLOOKUP(#REF!, Tableau5[Code sandre], Tableau5[Code sandre],, 0) &lt;&gt; "", 1, ""), "")</f>
        <v/>
      </c>
    </row>
    <row r="384">
      <c r="A384" t="inlineStr">
        <is>
          <t>BUTYL_METHYLACRYLATE</t>
        </is>
      </c>
      <c r="B384" t="inlineStr">
        <is>
          <t>97-88-1</t>
        </is>
      </c>
      <c r="C384" s="1" t="n">
        <v>5260</v>
      </c>
      <c r="E384">
        <f>IFERROR(IF(_xlfn.XLOOKUP(#REF!, Tableau5[Code sandre], Tableau5[Code sandre],, 0) &lt;&gt; "", 1, ""), "")</f>
        <v/>
      </c>
    </row>
    <row r="385">
      <c r="A385" t="inlineStr">
        <is>
          <t>BUTYL_PARABENE</t>
        </is>
      </c>
      <c r="B385" t="inlineStr">
        <is>
          <t>94-26-8</t>
        </is>
      </c>
      <c r="C385" s="1" t="n">
        <v>6988</v>
      </c>
      <c r="E385">
        <f>IFERROR(IF(_xlfn.XLOOKUP(#REF!, Tableau5[Code sandre], Tableau5[Code sandre],, 0) &lt;&gt; "", 1, ""), "")</f>
        <v/>
      </c>
    </row>
    <row r="386">
      <c r="A386" t="inlineStr">
        <is>
          <t>CADMIUM</t>
        </is>
      </c>
      <c r="C386" s="1" t="n">
        <v>1388</v>
      </c>
      <c r="E386">
        <f>IFERROR(IF(_xlfn.XLOOKUP(#REF!, Tableau5[Code sandre], Tableau5[Code sandre],, 0) &lt;&gt; "", 1, ""), "")</f>
        <v/>
      </c>
    </row>
    <row r="387">
      <c r="A387" t="inlineStr">
        <is>
          <t>CAFEINE</t>
        </is>
      </c>
      <c r="B387" t="inlineStr">
        <is>
          <t>58-08-2</t>
        </is>
      </c>
      <c r="C387" s="1" t="n">
        <v>6519</v>
      </c>
      <c r="E387">
        <f>IFERROR(IF(_xlfn.XLOOKUP(#REF!, Tableau5[Code sandre], Tableau5[Code sandre],, 0) &lt;&gt; "", 1, ""), "")</f>
        <v/>
      </c>
    </row>
    <row r="388">
      <c r="A388" t="inlineStr">
        <is>
          <t>CALCIUM</t>
        </is>
      </c>
      <c r="C388" s="1" t="n">
        <v>1374</v>
      </c>
      <c r="E388">
        <f>IFERROR(IF(_xlfn.XLOOKUP(#REF!, Tableau5[Code sandre], Tableau5[Code sandre],, 0) &lt;&gt; "", 1, ""), "")</f>
        <v/>
      </c>
    </row>
    <row r="389">
      <c r="A389" t="inlineStr">
        <is>
          <t>CAMPHENE</t>
        </is>
      </c>
      <c r="B389" t="inlineStr">
        <is>
          <t>79-92-5</t>
        </is>
      </c>
      <c r="C389" s="1" t="n">
        <v>7418</v>
      </c>
      <c r="E389">
        <f>IFERROR(IF(_xlfn.XLOOKUP(#REF!, Tableau5[Code sandre], Tableau5[Code sandre],, 0) &lt;&gt; "", 1, ""), "")</f>
        <v/>
      </c>
    </row>
    <row r="390">
      <c r="A390" t="inlineStr">
        <is>
          <t>CANDESARTAN</t>
        </is>
      </c>
      <c r="B390" t="inlineStr">
        <is>
          <t>139481-59-7</t>
        </is>
      </c>
      <c r="C390" s="1" t="n">
        <v>7897</v>
      </c>
      <c r="E390">
        <f>IFERROR(IF(_xlfn.XLOOKUP(#REF!, Tableau5[Code sandre], Tableau5[Code sandre],, 0) &lt;&gt; "", 1, ""), "")</f>
        <v/>
      </c>
    </row>
    <row r="391">
      <c r="A391" t="inlineStr">
        <is>
          <t>CAPTANE</t>
        </is>
      </c>
      <c r="C391" s="1" t="n">
        <v>1128</v>
      </c>
      <c r="E391">
        <f>IFERROR(IF(_xlfn.XLOOKUP(#REF!, Tableau5[Code sandre], Tableau5[Code sandre],, 0) &lt;&gt; "", 1, ""), "")</f>
        <v/>
      </c>
    </row>
    <row r="392">
      <c r="A392" t="inlineStr">
        <is>
          <t>CARBAMAZEPINE</t>
        </is>
      </c>
      <c r="C392" s="1" t="n">
        <v>5296</v>
      </c>
      <c r="E392">
        <f>IFERROR(IF(_xlfn.XLOOKUP(#REF!, Tableau5[Code sandre], Tableau5[Code sandre],, 0) &lt;&gt; "", 1, ""), "")</f>
        <v/>
      </c>
    </row>
    <row r="393">
      <c r="A393" t="inlineStr">
        <is>
          <t>CARBARYL</t>
        </is>
      </c>
      <c r="B393" t="inlineStr">
        <is>
          <t>63-25-2</t>
        </is>
      </c>
      <c r="C393" s="1" t="n">
        <v>1463</v>
      </c>
      <c r="E393">
        <f>IFERROR(IF(_xlfn.XLOOKUP(#REF!, Tableau5[Code sandre], Tableau5[Code sandre],, 0) &lt;&gt; "", 1, ""), "")</f>
        <v/>
      </c>
    </row>
    <row r="394">
      <c r="A394" t="inlineStr">
        <is>
          <t>CARBENDAZIME</t>
        </is>
      </c>
      <c r="B394" t="inlineStr">
        <is>
          <t>10605-21-7</t>
        </is>
      </c>
      <c r="C394" s="1" t="n">
        <v>1129</v>
      </c>
      <c r="E394">
        <f>IFERROR(IF(_xlfn.XLOOKUP(#REF!, Tableau5[Code sandre], Tableau5[Code sandre],, 0) &lt;&gt; "", 1, ""), "")</f>
        <v/>
      </c>
    </row>
    <row r="395">
      <c r="A395" t="inlineStr">
        <is>
          <t>CARBENDAZIME_ST</t>
        </is>
      </c>
      <c r="C395" t="n">
        <v>1129</v>
      </c>
      <c r="E395">
        <f>IFERROR(IF(_xlfn.XLOOKUP(#REF!, Tableau5[Code sandre], Tableau5[Code sandre],, 0) &lt;&gt; "", 1, ""), "")</f>
        <v/>
      </c>
    </row>
    <row r="396">
      <c r="A396" t="inlineStr">
        <is>
          <t>CARBETAMIDE</t>
        </is>
      </c>
      <c r="B396" t="inlineStr">
        <is>
          <t>16118-49-3</t>
        </is>
      </c>
      <c r="C396" s="1" t="n">
        <v>1333</v>
      </c>
      <c r="E396">
        <f>IFERROR(IF(_xlfn.XLOOKUP(#REF!, Tableau5[Code sandre], Tableau5[Code sandre],, 0) &lt;&gt; "", 1, ""), "")</f>
        <v/>
      </c>
    </row>
    <row r="397">
      <c r="A397" t="inlineStr">
        <is>
          <t>CARBOFURAN</t>
        </is>
      </c>
      <c r="B397" t="inlineStr">
        <is>
          <t>1563-66-2</t>
        </is>
      </c>
      <c r="C397" s="1" t="n">
        <v>1130</v>
      </c>
      <c r="E397">
        <f>IFERROR(IF(_xlfn.XLOOKUP(#REF!, Tableau5[Code sandre], Tableau5[Code sandre],, 0) &lt;&gt; "", 1, ""), "")</f>
        <v/>
      </c>
    </row>
    <row r="398">
      <c r="A398" t="inlineStr">
        <is>
          <t>CARBONATE</t>
        </is>
      </c>
      <c r="B398" t="inlineStr">
        <is>
          <t>3812-32-6</t>
        </is>
      </c>
      <c r="C398" s="1" t="n">
        <v>1328</v>
      </c>
      <c r="D398" t="inlineStr">
        <is>
          <t>AOX</t>
        </is>
      </c>
      <c r="E398">
        <f>IFERROR(IF(_xlfn.XLOOKUP(#REF!, Tableau5[Code sandre], Tableau5[Code sandre],, 0) &lt;&gt; "", 1, ""), "")</f>
        <v/>
      </c>
    </row>
    <row r="399">
      <c r="A399" t="inlineStr">
        <is>
          <t>CARBONATES_CACO3</t>
        </is>
      </c>
      <c r="C399" s="1" t="n">
        <v>3026</v>
      </c>
      <c r="D399" t="inlineStr">
        <is>
          <t>AMCA</t>
        </is>
      </c>
      <c r="E399">
        <f>IFERROR(IF(_xlfn.XLOOKUP(#REF!, Tableau5[Code sandre], Tableau5[Code sandre],, 0) &lt;&gt; "", 1, ""), "")</f>
        <v/>
      </c>
    </row>
    <row r="400">
      <c r="A400" t="inlineStr">
        <is>
          <t>CARBOPHENOTHION</t>
        </is>
      </c>
      <c r="C400" s="1" t="n">
        <v>1131</v>
      </c>
      <c r="D400" t="inlineStr">
        <is>
          <t>ALKYL05</t>
        </is>
      </c>
      <c r="E400">
        <f>IFERROR(IF(_xlfn.XLOOKUP(#REF!, Tableau5[Code sandre], Tableau5[Code sandre],, 0) &lt;&gt; "", 1, ""), "")</f>
        <v/>
      </c>
    </row>
    <row r="401">
      <c r="A401" t="inlineStr">
        <is>
          <t>CARBOXINE</t>
        </is>
      </c>
      <c r="B401" t="inlineStr">
        <is>
          <t>5234-68-4</t>
        </is>
      </c>
      <c r="C401" s="1" t="n">
        <v>2975</v>
      </c>
      <c r="E401">
        <f>IFERROR(IF(_xlfn.XLOOKUP(#REF!, Tableau5[Code sandre], Tableau5[Code sandre],, 0) &lt;&gt; "", 1, ""), "")</f>
        <v/>
      </c>
    </row>
    <row r="402">
      <c r="A402" t="inlineStr">
        <is>
          <t>CARBOXYIBUPROFEN</t>
        </is>
      </c>
      <c r="B402" t="inlineStr">
        <is>
          <t>15935-54-3</t>
        </is>
      </c>
      <c r="C402" s="1" t="n">
        <v>6842</v>
      </c>
      <c r="D402" t="inlineStr">
        <is>
          <t>ALKYL05</t>
        </is>
      </c>
      <c r="E402">
        <f>IFERROR(IF(_xlfn.XLOOKUP(#REF!, Tableau5[Code sandre], Tableau5[Code sandre],, 0) &lt;&gt; "", 1, ""), "")</f>
        <v/>
      </c>
    </row>
    <row r="403">
      <c r="A403" t="inlineStr">
        <is>
          <t>CARFENTRAZONE_ETHYL</t>
        </is>
      </c>
      <c r="C403" t="n">
        <v>2976</v>
      </c>
      <c r="E403">
        <f>IFERROR(IF(_xlfn.XLOOKUP(#REF!, Tableau5[Code sandre], Tableau5[Code sandre],, 0) &lt;&gt; "", 1, ""), "")</f>
        <v/>
      </c>
    </row>
    <row r="404">
      <c r="A404" t="inlineStr">
        <is>
          <t>CERIUM</t>
        </is>
      </c>
      <c r="B404" t="inlineStr">
        <is>
          <t>7440-45-1</t>
        </is>
      </c>
      <c r="C404" s="1" t="n">
        <v>1801</v>
      </c>
      <c r="D404" t="inlineStr">
        <is>
          <t>11DCET</t>
        </is>
      </c>
      <c r="E404">
        <f>IFERROR(IF(_xlfn.XLOOKUP(#REF!, Tableau5[Code sandre], Tableau5[Code sandre],, 0) &lt;&gt; "", 1, ""), "")</f>
        <v/>
      </c>
    </row>
    <row r="405">
      <c r="A405" t="inlineStr">
        <is>
          <t>CESIUM</t>
        </is>
      </c>
      <c r="B405" t="inlineStr">
        <is>
          <t>7440-46-2</t>
        </is>
      </c>
      <c r="C405" s="1" t="n">
        <v>5870</v>
      </c>
      <c r="D405" t="inlineStr">
        <is>
          <t>12DCETT</t>
        </is>
      </c>
      <c r="E405">
        <f>IFERROR(IF(_xlfn.XLOOKUP(#REF!, Tableau5[Code sandre], Tableau5[Code sandre],, 0) &lt;&gt; "", 1, ""), "")</f>
        <v/>
      </c>
    </row>
    <row r="406">
      <c r="A406" t="inlineStr">
        <is>
          <t>CHLORAMPHENICOL</t>
        </is>
      </c>
      <c r="B406" t="inlineStr">
        <is>
          <t>56-75-7</t>
        </is>
      </c>
      <c r="C406" s="1" t="n">
        <v>5470</v>
      </c>
      <c r="D406" t="inlineStr">
        <is>
          <t>BOSCALI</t>
        </is>
      </c>
      <c r="E406">
        <f>IFERROR(IF(_xlfn.XLOOKUP(#REF!, Tableau5[Code sandre], Tableau5[Code sandre],, 0) &lt;&gt; "", 1, ""), "")</f>
        <v/>
      </c>
    </row>
    <row r="407">
      <c r="A407" t="inlineStr">
        <is>
          <t>CHLORANTRANILIPROLE</t>
        </is>
      </c>
      <c r="B407" t="inlineStr">
        <is>
          <t>500008-45-7</t>
        </is>
      </c>
      <c r="C407" s="1" t="n">
        <v>7500</v>
      </c>
      <c r="E407">
        <f>IFERROR(IF(_xlfn.XLOOKUP(#REF!, Tableau5[Code sandre], Tableau5[Code sandre],, 0) &lt;&gt; "", 1, ""), "")</f>
        <v/>
      </c>
    </row>
    <row r="408">
      <c r="A408" t="inlineStr">
        <is>
          <t>CHLORATES</t>
        </is>
      </c>
      <c r="B408" t="inlineStr">
        <is>
          <t>14866-68-3</t>
        </is>
      </c>
      <c r="C408" s="1" t="n">
        <v>1752</v>
      </c>
      <c r="D408" t="inlineStr">
        <is>
          <t>BGPERY</t>
        </is>
      </c>
      <c r="E408">
        <f>IFERROR(IF(_xlfn.XLOOKUP(#REF!, Tableau5[Code sandre], Tableau5[Code sandre],, 0) &lt;&gt; "", 1, ""), "")</f>
        <v/>
      </c>
    </row>
    <row r="409">
      <c r="A409" t="inlineStr">
        <is>
          <t>CHLORBROMURON</t>
        </is>
      </c>
      <c r="B409" t="inlineStr">
        <is>
          <t>13360-45-7</t>
        </is>
      </c>
      <c r="C409" s="1" t="n">
        <v>2016</v>
      </c>
      <c r="E409">
        <f>IFERROR(IF(_xlfn.XLOOKUP(#REF!, Tableau5[Code sandre], Tableau5[Code sandre],, 0) &lt;&gt; "", 1, ""), "")</f>
        <v/>
      </c>
    </row>
    <row r="410">
      <c r="A410" t="inlineStr">
        <is>
          <t>CHLORDANE</t>
        </is>
      </c>
      <c r="B410" t="inlineStr">
        <is>
          <t>57-74-9</t>
        </is>
      </c>
      <c r="C410" s="1" t="n">
        <v>1132</v>
      </c>
      <c r="E410">
        <f>IFERROR(IF(_xlfn.XLOOKUP(#REF!, Tableau5[Code sandre], Tableau5[Code sandre],, 0) &lt;&gt; "", 1, ""), "")</f>
        <v/>
      </c>
    </row>
    <row r="411">
      <c r="A411" t="inlineStr">
        <is>
          <t>CHLORDANE_CIS</t>
        </is>
      </c>
      <c r="B411" t="inlineStr">
        <is>
          <t>57-74-9</t>
        </is>
      </c>
      <c r="C411" s="1" t="n">
        <v>1132</v>
      </c>
      <c r="E411">
        <f>IFERROR(IF(_xlfn.XLOOKUP(#REF!, Tableau5[Code sandre], Tableau5[Code sandre],, 0) &lt;&gt; "", 1, ""), "")</f>
        <v/>
      </c>
    </row>
    <row r="412">
      <c r="A412" t="inlineStr">
        <is>
          <t>CHLORDANE_TRANS</t>
        </is>
      </c>
      <c r="B412" t="inlineStr">
        <is>
          <t>5103-74-2</t>
        </is>
      </c>
      <c r="C412" s="1" t="n">
        <v>1757</v>
      </c>
      <c r="E412">
        <f>IFERROR(IF(_xlfn.XLOOKUP(#REF!, Tableau5[Code sandre], Tableau5[Code sandre],, 0) &lt;&gt; "", 1, ""), "")</f>
        <v/>
      </c>
    </row>
    <row r="413">
      <c r="A413" t="inlineStr">
        <is>
          <t>CHLORDECONE</t>
        </is>
      </c>
      <c r="B413" t="inlineStr">
        <is>
          <t>143-50-0</t>
        </is>
      </c>
      <c r="C413" s="1" t="n">
        <v>1866</v>
      </c>
      <c r="E413">
        <f>IFERROR(IF(_xlfn.XLOOKUP(#REF!, Tableau5[Code sandre], Tableau5[Code sandre],, 0) &lt;&gt; "", 1, ""), "")</f>
        <v/>
      </c>
    </row>
    <row r="414">
      <c r="A414" t="inlineStr">
        <is>
          <t>CHLORE_COMBINE</t>
        </is>
      </c>
      <c r="C414" s="1" t="n">
        <v>1755</v>
      </c>
      <c r="E414">
        <f>IFERROR(IF(_xlfn.XLOOKUP(#REF!, Tableau5[Code sandre], Tableau5[Code sandre],, 0) &lt;&gt; "", 1, ""), "")</f>
        <v/>
      </c>
    </row>
    <row r="415">
      <c r="A415" t="inlineStr">
        <is>
          <t>CHLORE_COMBINE_IN_SITU</t>
        </is>
      </c>
      <c r="C415" s="1" t="n">
        <v>1755</v>
      </c>
      <c r="E415">
        <f>IFERROR(IF(_xlfn.XLOOKUP(#REF!, Tableau5[Code sandre], Tableau5[Code sandre],, 0) &lt;&gt; "", 1, ""), "")</f>
        <v/>
      </c>
    </row>
    <row r="416">
      <c r="A416" t="inlineStr">
        <is>
          <t>CHLORE_DISPONIBLE_IN_SITU</t>
        </is>
      </c>
      <c r="C416" s="1" t="inlineStr">
        <is>
          <t xml:space="preserve">6280 </t>
        </is>
      </c>
      <c r="E416">
        <f>IFERROR(IF(_xlfn.XLOOKUP(#REF!, Tableau5[Code sandre], Tableau5[Code sandre],, 0) &lt;&gt; "", 1, ""), "")</f>
        <v/>
      </c>
    </row>
    <row r="417">
      <c r="A417" t="inlineStr">
        <is>
          <t>CHLORE_LIBRE</t>
        </is>
      </c>
      <c r="C417" s="1" t="n">
        <v>1398</v>
      </c>
      <c r="E417">
        <f>IFERROR(IF(_xlfn.XLOOKUP(#REF!, Tableau5[Code sandre], Tableau5[Code sandre],, 0) &lt;&gt; "", 1, ""), "")</f>
        <v/>
      </c>
    </row>
    <row r="418">
      <c r="A418" t="inlineStr">
        <is>
          <t>CHLORE_LIBRE_IN_SITU</t>
        </is>
      </c>
      <c r="C418" s="1" t="n">
        <v>1398</v>
      </c>
      <c r="E418">
        <f>IFERROR(IF(_xlfn.XLOOKUP(#REF!, Tableau5[Code sandre], Tableau5[Code sandre],, 0) &lt;&gt; "", 1, ""), "")</f>
        <v/>
      </c>
    </row>
    <row r="419">
      <c r="A419" t="inlineStr">
        <is>
          <t>CHLORE_LIBRE_IN_SITU_PISCINES</t>
        </is>
      </c>
      <c r="C419" s="1" t="n">
        <v>1398</v>
      </c>
      <c r="E419">
        <f>IFERROR(IF(_xlfn.XLOOKUP(#REF!, Tableau5[Code sandre], Tableau5[Code sandre],, 0) &lt;&gt; "", 1, ""), "")</f>
        <v/>
      </c>
    </row>
    <row r="420">
      <c r="A420" t="inlineStr">
        <is>
          <t>CHLORE_TOTAL</t>
        </is>
      </c>
      <c r="C420" s="1" t="n">
        <v>1399</v>
      </c>
      <c r="E420">
        <f>IFERROR(IF(_xlfn.XLOOKUP(#REF!, Tableau5[Code sandre], Tableau5[Code sandre],, 0) &lt;&gt; "", 1, ""), "")</f>
        <v/>
      </c>
    </row>
    <row r="421">
      <c r="A421" t="inlineStr">
        <is>
          <t>CHLORE_TOTAL_IN_SITU</t>
        </is>
      </c>
      <c r="C421" s="1" t="n">
        <v>1399</v>
      </c>
      <c r="E421">
        <f>IFERROR(IF(_xlfn.XLOOKUP(#REF!, Tableau5[Code sandre], Tableau5[Code sandre],, 0) &lt;&gt; "", 1, ""), "")</f>
        <v/>
      </c>
    </row>
    <row r="422">
      <c r="A422" t="inlineStr">
        <is>
          <t>CHLORE_TOTAL_IN_SITU_PISCINES</t>
        </is>
      </c>
      <c r="C422" s="1" t="n">
        <v>1399</v>
      </c>
      <c r="E422">
        <f>IFERROR(IF(_xlfn.XLOOKUP(#REF!, Tableau5[Code sandre], Tableau5[Code sandre],, 0) &lt;&gt; "", 1, ""), "")</f>
        <v/>
      </c>
    </row>
    <row r="423">
      <c r="A423" t="inlineStr">
        <is>
          <t>CHLORFENVINPHOS</t>
        </is>
      </c>
      <c r="B423" t="inlineStr">
        <is>
          <t>470-90-6</t>
        </is>
      </c>
      <c r="C423" s="1" t="n">
        <v>1464</v>
      </c>
      <c r="D423" t="inlineStr">
        <is>
          <t>BOSCALI</t>
        </is>
      </c>
      <c r="E423">
        <f>IFERROR(IF(_xlfn.XLOOKUP(#REF!, Tableau5[Code sandre], Tableau5[Code sandre],, 0) &lt;&gt; "", 1, ""), "")</f>
        <v/>
      </c>
    </row>
    <row r="424">
      <c r="A424" t="inlineStr">
        <is>
          <t>CHLORIDAZON</t>
        </is>
      </c>
      <c r="B424" t="inlineStr">
        <is>
          <t>1698-60-8</t>
        </is>
      </c>
      <c r="C424" s="1" t="n">
        <v>1133</v>
      </c>
      <c r="E424">
        <f>IFERROR(IF(_xlfn.XLOOKUP(#REF!, Tableau5[Code sandre], Tableau5[Code sandre],, 0) &lt;&gt; "", 1, ""), "")</f>
        <v/>
      </c>
    </row>
    <row r="425">
      <c r="A425" t="inlineStr">
        <is>
          <t>CHLORIDAZON_DESPHENYL</t>
        </is>
      </c>
      <c r="B425" t="inlineStr">
        <is>
          <t>6339-19-1</t>
        </is>
      </c>
      <c r="C425" s="1" t="n">
        <v>6378</v>
      </c>
      <c r="E425">
        <f>IFERROR(IF(_xlfn.XLOOKUP(#REF!, Tableau5[Code sandre], Tableau5[Code sandre],, 0) &lt;&gt; "", 1, ""), "")</f>
        <v/>
      </c>
    </row>
    <row r="426">
      <c r="A426" t="inlineStr">
        <is>
          <t>CHLORIDAZON_METHYLDESPHENYL</t>
        </is>
      </c>
      <c r="B426" t="inlineStr">
        <is>
          <t>17254-80-7</t>
        </is>
      </c>
      <c r="C426" s="1" t="n">
        <v>6379</v>
      </c>
      <c r="E426">
        <f>IFERROR(IF(_xlfn.XLOOKUP(#REF!, Tableau5[Code sandre], Tableau5[Code sandre],, 0) &lt;&gt; "", 1, ""), "")</f>
        <v/>
      </c>
    </row>
    <row r="427">
      <c r="A427" t="inlineStr">
        <is>
          <t>CHLORITES</t>
        </is>
      </c>
      <c r="B427" t="inlineStr">
        <is>
          <t>14998-27-7</t>
        </is>
      </c>
      <c r="C427" s="1" t="n">
        <v>1735</v>
      </c>
      <c r="D427" t="inlineStr">
        <is>
          <t>BKFLUO</t>
        </is>
      </c>
      <c r="E427">
        <f>IFERROR(IF(_xlfn.XLOOKUP(#REF!, Tableau5[Code sandre], Tableau5[Code sandre],, 0) &lt;&gt; "", 1, ""), "")</f>
        <v/>
      </c>
    </row>
    <row r="428">
      <c r="A428" t="inlineStr">
        <is>
          <t>CHLORMEPHOS</t>
        </is>
      </c>
      <c r="B428" t="inlineStr">
        <is>
          <t>24934-91-6</t>
        </is>
      </c>
      <c r="C428" s="1" t="n">
        <v>1134</v>
      </c>
      <c r="E428">
        <f>IFERROR(IF(_xlfn.XLOOKUP(#REF!, Tableau5[Code sandre], Tableau5[Code sandre],, 0) &lt;&gt; "", 1, ""), "")</f>
        <v/>
      </c>
    </row>
    <row r="429">
      <c r="A429" t="inlineStr">
        <is>
          <t>CHLORMEQUAT</t>
        </is>
      </c>
      <c r="B429" t="inlineStr">
        <is>
          <t>7003-89-6</t>
        </is>
      </c>
      <c r="C429" s="1" t="n">
        <v>5554</v>
      </c>
      <c r="E429">
        <f>IFERROR(IF(_xlfn.XLOOKUP(#REF!, Tableau5[Code sandre], Tableau5[Code sandre],, 0) &lt;&gt; "", 1, ""), "")</f>
        <v/>
      </c>
    </row>
    <row r="430">
      <c r="A430" t="inlineStr">
        <is>
          <t>CHLOROALCANES_ST</t>
        </is>
      </c>
      <c r="C430" s="1" t="n">
        <v>1955</v>
      </c>
      <c r="E430">
        <f>IFERROR(IF(_xlfn.XLOOKUP(#REF!, Tableau5[Code sandre], Tableau5[Code sandre],, 0) &lt;&gt; "", 1, ""), "")</f>
        <v/>
      </c>
    </row>
    <row r="431">
      <c r="A431" t="inlineStr">
        <is>
          <t>CHLOROBENZENE</t>
        </is>
      </c>
      <c r="B431" t="inlineStr">
        <is>
          <t>108-90-7</t>
        </is>
      </c>
      <c r="C431" s="1" t="n">
        <v>1467</v>
      </c>
      <c r="D431" t="inlineStr">
        <is>
          <t>ACET</t>
        </is>
      </c>
      <c r="E431">
        <f>IFERROR(IF(_xlfn.XLOOKUP(#REF!, Tableau5[Code sandre], Tableau5[Code sandre],, 0) &lt;&gt; "", 1, ""), "")</f>
        <v/>
      </c>
    </row>
    <row r="432">
      <c r="A432" t="inlineStr">
        <is>
          <t>CHLOROFORME</t>
        </is>
      </c>
      <c r="B432" t="inlineStr">
        <is>
          <t>67-66-3</t>
        </is>
      </c>
      <c r="C432" s="1" t="n">
        <v>1135</v>
      </c>
      <c r="E432">
        <f>IFERROR(IF(_xlfn.XLOOKUP(#REF!, Tableau5[Code sandre], Tableau5[Code sandre],, 0) &lt;&gt; "", 1, ""), "")</f>
        <v/>
      </c>
    </row>
    <row r="433">
      <c r="A433" t="inlineStr">
        <is>
          <t>CHLOROMETHANE</t>
        </is>
      </c>
      <c r="B433" t="inlineStr">
        <is>
          <t>74-87-3</t>
        </is>
      </c>
      <c r="C433" s="1" t="n">
        <v>1736</v>
      </c>
      <c r="E433">
        <f>IFERROR(IF(_xlfn.XLOOKUP(#REF!, Tableau5[Code sandre], Tableau5[Code sandre],, 0) &lt;&gt; "", 1, ""), "")</f>
        <v/>
      </c>
    </row>
    <row r="434">
      <c r="A434" t="inlineStr">
        <is>
          <t>CHLOROPHYLLE_A</t>
        </is>
      </c>
      <c r="B434" t="inlineStr">
        <is>
          <t>479-61-8</t>
        </is>
      </c>
      <c r="C434" s="1" t="n">
        <v>1439</v>
      </c>
      <c r="D434" t="inlineStr">
        <is>
          <t>BFNX</t>
        </is>
      </c>
      <c r="E434">
        <f>IFERROR(IF(_xlfn.XLOOKUP(#REF!, Tableau5[Code sandre], Tableau5[Code sandre],, 0) &lt;&gt; "", 1, ""), "")</f>
        <v/>
      </c>
    </row>
    <row r="435">
      <c r="A435" t="inlineStr">
        <is>
          <t>CHLOROPHYLLE_B</t>
        </is>
      </c>
      <c r="B435" t="inlineStr">
        <is>
          <t>519-62-0</t>
        </is>
      </c>
      <c r="C435" s="1" t="n">
        <v>1438</v>
      </c>
      <c r="E435">
        <f>IFERROR(IF(_xlfn.XLOOKUP(#REF!, Tableau5[Code sandre], Tableau5[Code sandre],, 0) &lt;&gt; "", 1, ""), "")</f>
        <v/>
      </c>
    </row>
    <row r="436">
      <c r="A436" t="inlineStr">
        <is>
          <t>CHLOROPICRINE</t>
        </is>
      </c>
      <c r="B436" t="inlineStr">
        <is>
          <t>76-06-2</t>
        </is>
      </c>
      <c r="C436" s="1" t="n">
        <v>1472</v>
      </c>
      <c r="E436">
        <f>IFERROR(IF(_xlfn.XLOOKUP(#REF!, Tableau5[Code sandre], Tableau5[Code sandre],, 0) &lt;&gt; "", 1, ""), "")</f>
        <v/>
      </c>
    </row>
    <row r="437">
      <c r="A437" t="inlineStr">
        <is>
          <t>CHLOROTHALONIL</t>
        </is>
      </c>
      <c r="B437" t="inlineStr">
        <is>
          <t>1897-45-6</t>
        </is>
      </c>
      <c r="C437" s="1" t="n">
        <v>1473</v>
      </c>
      <c r="E437">
        <f>IFERROR(IF(_xlfn.XLOOKUP(#REF!, Tableau5[Code sandre], Tableau5[Code sandre],, 0) &lt;&gt; "", 1, ""), "")</f>
        <v/>
      </c>
    </row>
    <row r="438">
      <c r="A438" t="inlineStr">
        <is>
          <t>CHLOROTHALONIL_4-HYDROXY</t>
        </is>
      </c>
      <c r="B438" t="inlineStr">
        <is>
          <t>28343-61-5</t>
        </is>
      </c>
      <c r="C438" s="1" t="n">
        <v>7715</v>
      </c>
      <c r="E438">
        <f>IFERROR(IF(_xlfn.XLOOKUP(#REF!, Tableau5[Code sandre], Tableau5[Code sandre],, 0) &lt;&gt; "", 1, ""), "")</f>
        <v/>
      </c>
    </row>
    <row r="439">
      <c r="A439" t="inlineStr">
        <is>
          <t>CHLOROTHALONIL_R417888</t>
        </is>
      </c>
      <c r="B439" t="inlineStr">
        <is>
          <t>1418095-02-97717</t>
        </is>
      </c>
      <c r="C439" s="1" t="n">
        <v>7717</v>
      </c>
      <c r="E439">
        <f>IFERROR(IF(_xlfn.XLOOKUP(#REF!, Tableau5[Code sandre], Tableau5[Code sandre],, 0) &lt;&gt; "", 1, ""), "")</f>
        <v/>
      </c>
    </row>
    <row r="440">
      <c r="A440" t="inlineStr">
        <is>
          <t>CHLOROTHALONIL_R419492</t>
        </is>
      </c>
      <c r="C440" s="1" t="n">
        <v>8864</v>
      </c>
      <c r="E440">
        <f>IFERROR(IF(_xlfn.XLOOKUP(#REF!, Tableau5[Code sandre], Tableau5[Code sandre],, 0) &lt;&gt; "", 1, ""), "")</f>
        <v/>
      </c>
    </row>
    <row r="441">
      <c r="A441" t="inlineStr">
        <is>
          <t>CHLOROTHALONIL_R471811</t>
        </is>
      </c>
      <c r="C441" s="1" t="n">
        <v>8865</v>
      </c>
      <c r="E441">
        <f>IFERROR(IF(_xlfn.XLOOKUP(#REF!, Tableau5[Code sandre], Tableau5[Code sandre],, 0) &lt;&gt; "", 1, ""), "")</f>
        <v/>
      </c>
    </row>
    <row r="442">
      <c r="A442" t="inlineStr">
        <is>
          <t>CHLOROTHALONIL_SYN507900</t>
        </is>
      </c>
      <c r="B442" t="inlineStr">
        <is>
          <t>115044-73-0</t>
        </is>
      </c>
      <c r="C442" s="1" t="n">
        <v>9127</v>
      </c>
      <c r="E442">
        <f>IFERROR(IF(_xlfn.XLOOKUP(#REF!, Tableau5[Code sandre], Tableau5[Code sandre],, 0) &lt;&gt; "", 1, ""), "")</f>
        <v/>
      </c>
    </row>
    <row r="443">
      <c r="A443" t="inlineStr">
        <is>
          <t>CHLOROXURON</t>
        </is>
      </c>
      <c r="B443" t="inlineStr">
        <is>
          <t>1982-47-4</t>
        </is>
      </c>
      <c r="C443" s="1" t="n">
        <v>1683</v>
      </c>
      <c r="E443">
        <f>IFERROR(IF(_xlfn.XLOOKUP(#REF!, Tableau5[Code sandre], Tableau5[Code sandre],, 0) &lt;&gt; "", 1, ""), "")</f>
        <v/>
      </c>
    </row>
    <row r="444">
      <c r="A444" t="inlineStr">
        <is>
          <t>CHLORPROPHAME</t>
        </is>
      </c>
      <c r="B444" t="inlineStr">
        <is>
          <t>101-21-3</t>
        </is>
      </c>
      <c r="C444" s="1" t="n">
        <v>1474</v>
      </c>
      <c r="E444">
        <f>IFERROR(IF(_xlfn.XLOOKUP(#REF!, Tableau5[Code sandre], Tableau5[Code sandre],, 0) &lt;&gt; "", 1, ""), "")</f>
        <v/>
      </c>
    </row>
    <row r="445">
      <c r="A445" t="inlineStr">
        <is>
          <t>CHLORPROPHAME_ST</t>
        </is>
      </c>
      <c r="C445" s="1" t="n">
        <v>1474</v>
      </c>
      <c r="E445">
        <f>IFERROR(IF(_xlfn.XLOOKUP(#REF!, Tableau5[Code sandre], Tableau5[Code sandre],, 0) &lt;&gt; "", 1, ""), "")</f>
        <v/>
      </c>
    </row>
    <row r="446">
      <c r="A446" t="inlineStr">
        <is>
          <t>CHLORPYRIPHOS_ETHYL</t>
        </is>
      </c>
      <c r="B446" t="inlineStr">
        <is>
          <t>2921-88-2</t>
        </is>
      </c>
      <c r="C446" s="1" t="n">
        <v>1083</v>
      </c>
      <c r="E446">
        <f>IFERROR(IF(_xlfn.XLOOKUP(#REF!, Tableau5[Code sandre], Tableau5[Code sandre],, 0) &lt;&gt; "", 1, ""), "")</f>
        <v/>
      </c>
    </row>
    <row r="447">
      <c r="A447" t="inlineStr">
        <is>
          <t>CHLORPYRIPHOS_METHYL</t>
        </is>
      </c>
      <c r="B447" t="inlineStr">
        <is>
          <t>5598-13-0</t>
        </is>
      </c>
      <c r="C447" s="1" t="n">
        <v>1540</v>
      </c>
      <c r="E447">
        <f>IFERROR(IF(_xlfn.XLOOKUP(#REF!, Tableau5[Code sandre], Tableau5[Code sandre],, 0) &lt;&gt; "", 1, ""), "")</f>
        <v/>
      </c>
    </row>
    <row r="448">
      <c r="A448" t="inlineStr">
        <is>
          <t>CHLORSULFURON</t>
        </is>
      </c>
      <c r="B448" t="inlineStr">
        <is>
          <t>64902-72-3</t>
        </is>
      </c>
      <c r="C448" s="1" t="n">
        <v>1353</v>
      </c>
      <c r="E448">
        <f>IFERROR(IF(_xlfn.XLOOKUP(#REF!, Tableau5[Code sandre], Tableau5[Code sandre],, 0) &lt;&gt; "", 1, ""), "")</f>
        <v/>
      </c>
    </row>
    <row r="449">
      <c r="A449" t="inlineStr">
        <is>
          <t>CHLORTOLURON</t>
        </is>
      </c>
      <c r="B449" t="inlineStr">
        <is>
          <t>15545-48-9</t>
        </is>
      </c>
      <c r="C449" s="1" t="n">
        <v>1136</v>
      </c>
      <c r="E449">
        <f>IFERROR(IF(_xlfn.XLOOKUP(#REF!, Tableau5[Code sandre], Tableau5[Code sandre],, 0) &lt;&gt; "", 1, ""), "")</f>
        <v/>
      </c>
    </row>
    <row r="450">
      <c r="A450" t="inlineStr">
        <is>
          <t>CHLORTOLURON_ST</t>
        </is>
      </c>
      <c r="C450" s="1" t="n">
        <v>1136</v>
      </c>
      <c r="E450">
        <f>IFERROR(IF(_xlfn.XLOOKUP(#REF!, Tableau5[Code sandre], Tableau5[Code sandre],, 0) &lt;&gt; "", 1, ""), "")</f>
        <v/>
      </c>
    </row>
    <row r="451">
      <c r="A451" t="inlineStr">
        <is>
          <t>CHLORURE_DE_CYANOGENE</t>
        </is>
      </c>
      <c r="B451" t="inlineStr">
        <is>
          <t>506-77-4</t>
        </is>
      </c>
      <c r="C451" s="1" t="n">
        <v>1478</v>
      </c>
      <c r="E451">
        <f>IFERROR(IF(_xlfn.XLOOKUP(#REF!, Tableau5[Code sandre], Tableau5[Code sandre],, 0) &lt;&gt; "", 1, ""), "")</f>
        <v/>
      </c>
    </row>
    <row r="452">
      <c r="A452" t="inlineStr">
        <is>
          <t>CHLORURE_DE_VINYLE</t>
        </is>
      </c>
      <c r="B452" t="inlineStr">
        <is>
          <t>75-01-4</t>
        </is>
      </c>
      <c r="C452" s="1" t="n">
        <v>1753</v>
      </c>
      <c r="E452">
        <f>IFERROR(IF(_xlfn.XLOOKUP(#REF!, Tableau5[Code sandre], Tableau5[Code sandre],, 0) &lt;&gt; "", 1, ""), "")</f>
        <v/>
      </c>
    </row>
    <row r="453">
      <c r="A453" t="inlineStr">
        <is>
          <t>CHLORURES</t>
        </is>
      </c>
      <c r="B453" t="inlineStr">
        <is>
          <t>16887-00-6</t>
        </is>
      </c>
      <c r="C453" s="1" t="n">
        <v>1337</v>
      </c>
      <c r="D453" t="inlineStr">
        <is>
          <t>BKFLUO</t>
        </is>
      </c>
      <c r="E453">
        <f>IFERROR(IF(_xlfn.XLOOKUP(#REF!, Tableau5[Code sandre], Tableau5[Code sandre],, 0) &lt;&gt; "", 1, ""), "")</f>
        <v/>
      </c>
    </row>
    <row r="454">
      <c r="A454" t="inlineStr">
        <is>
          <t>CHROME</t>
        </is>
      </c>
      <c r="C454" s="1" t="n">
        <v>1389</v>
      </c>
      <c r="E454">
        <f>IFERROR(IF(_xlfn.XLOOKUP(#REF!, Tableau5[Code sandre], Tableau5[Code sandre],, 0) &lt;&gt; "", 1, ""), "")</f>
        <v/>
      </c>
    </row>
    <row r="455">
      <c r="A455" t="inlineStr">
        <is>
          <t>CHROME_HEXAVALENT</t>
        </is>
      </c>
      <c r="C455" s="1" t="n">
        <v>1371</v>
      </c>
      <c r="E455">
        <f>IFERROR(IF(_xlfn.XLOOKUP(#REF!, Tableau5[Code sandre], Tableau5[Code sandre],, 0) &lt;&gt; "", 1, ""), "")</f>
        <v/>
      </c>
    </row>
    <row r="456">
      <c r="A456" t="inlineStr">
        <is>
          <t>CHROME_TRIVALENT</t>
        </is>
      </c>
      <c r="B456" t="inlineStr">
        <is>
          <t>16065-83-1</t>
        </is>
      </c>
      <c r="C456" s="1" t="n">
        <v>5871</v>
      </c>
      <c r="E456">
        <f>IFERROR(IF(_xlfn.XLOOKUP(#REF!, Tableau5[Code sandre], Tableau5[Code sandre],, 0) &lt;&gt; "", 1, ""), "")</f>
        <v/>
      </c>
    </row>
    <row r="457">
      <c r="A457" t="inlineStr">
        <is>
          <t>CHRYSENE</t>
        </is>
      </c>
      <c r="B457" t="inlineStr">
        <is>
          <t>218-01-9</t>
        </is>
      </c>
      <c r="C457" s="1" t="n">
        <v>1476</v>
      </c>
      <c r="E457">
        <f>IFERROR(IF(_xlfn.XLOOKUP(#REF!, Tableau5[Code sandre], Tableau5[Code sandre],, 0) &lt;&gt; "", 1, ""), "")</f>
        <v/>
      </c>
    </row>
    <row r="458">
      <c r="A458" t="inlineStr">
        <is>
          <t>CIS_12-DICHLORETHYLENE</t>
        </is>
      </c>
      <c r="B458" t="inlineStr">
        <is>
          <t>156-59-2</t>
        </is>
      </c>
      <c r="C458" s="1" t="n">
        <v>1456</v>
      </c>
      <c r="E458">
        <f>IFERROR(IF(_xlfn.XLOOKUP(#REF!, Tableau5[Code sandre], Tableau5[Code sandre],, 0) &lt;&gt; "", 1, ""), "")</f>
        <v/>
      </c>
    </row>
    <row r="459">
      <c r="A459" t="inlineStr">
        <is>
          <t>CITALOPRAM</t>
        </is>
      </c>
      <c r="B459" t="inlineStr">
        <is>
          <t>59729-33-8</t>
        </is>
      </c>
      <c r="C459" s="1" t="n">
        <v>7599</v>
      </c>
      <c r="E459">
        <f>IFERROR(IF(_xlfn.XLOOKUP(#REF!, Tableau5[Code sandre], Tableau5[Code sandre],, 0) &lt;&gt; "", 1, ""), "")</f>
        <v/>
      </c>
    </row>
    <row r="460">
      <c r="A460" t="inlineStr">
        <is>
          <t>CLARITHROMYCINE</t>
        </is>
      </c>
      <c r="B460" t="inlineStr">
        <is>
          <t>81103-11-9</t>
        </is>
      </c>
      <c r="C460" s="1" t="n">
        <v>6537</v>
      </c>
      <c r="E460">
        <f>IFERROR(IF(_xlfn.XLOOKUP(#REF!, Tableau5[Code sandre], Tableau5[Code sandre],, 0) &lt;&gt; "", 1, ""), "")</f>
        <v/>
      </c>
    </row>
    <row r="461">
      <c r="A461" t="inlineStr">
        <is>
          <t>CLETHODIME</t>
        </is>
      </c>
      <c r="B461" t="inlineStr">
        <is>
          <t>99129-21-2</t>
        </is>
      </c>
      <c r="C461" s="1" t="n">
        <v>2978</v>
      </c>
      <c r="E461">
        <f>IFERROR(IF(_xlfn.XLOOKUP(#REF!, Tableau5[Code sandre], Tableau5[Code sandre],, 0) &lt;&gt; "", 1, ""), "")</f>
        <v/>
      </c>
    </row>
    <row r="462">
      <c r="A462" t="inlineStr">
        <is>
          <t>CLODINAFOP-PROPARGYL</t>
        </is>
      </c>
      <c r="B462" t="inlineStr">
        <is>
          <t>105512-06-9</t>
        </is>
      </c>
      <c r="C462" s="1" t="n">
        <v>2095</v>
      </c>
      <c r="E462">
        <f>IFERROR(IF(_xlfn.XLOOKUP(#REF!, Tableau5[Code sandre], Tableau5[Code sandre],, 0) &lt;&gt; "", 1, ""), "")</f>
        <v/>
      </c>
    </row>
    <row r="463">
      <c r="A463" t="inlineStr">
        <is>
          <t>CLOMAZONE</t>
        </is>
      </c>
      <c r="B463" t="inlineStr">
        <is>
          <t>81777-89-1</t>
        </is>
      </c>
      <c r="C463" s="1" t="n">
        <v>2017</v>
      </c>
      <c r="E463">
        <f>IFERROR(IF(_xlfn.XLOOKUP(#REF!, Tableau5[Code sandre], Tableau5[Code sandre],, 0) &lt;&gt; "", 1, ""), "")</f>
        <v/>
      </c>
    </row>
    <row r="464">
      <c r="A464" t="inlineStr">
        <is>
          <t>CLOPYRALID_TOTAL</t>
        </is>
      </c>
      <c r="C464" t="n">
        <v>1810</v>
      </c>
      <c r="E464">
        <f>IFERROR(IF(_xlfn.XLOOKUP(#REF!, Tableau5[Code sandre], Tableau5[Code sandre],, 0) &lt;&gt; "", 1, ""), "")</f>
        <v/>
      </c>
    </row>
    <row r="465">
      <c r="A465" t="inlineStr">
        <is>
          <t>CLOQUINTOCET-MEXYL</t>
        </is>
      </c>
      <c r="B465" t="inlineStr">
        <is>
          <t>99607-70-2</t>
        </is>
      </c>
      <c r="C465" s="1" t="n">
        <v>2018</v>
      </c>
      <c r="E465">
        <f>IFERROR(IF(_xlfn.XLOOKUP(#REF!, Tableau5[Code sandre], Tableau5[Code sandre],, 0) &lt;&gt; "", 1, ""), "")</f>
        <v/>
      </c>
    </row>
    <row r="466">
      <c r="A466" t="inlineStr">
        <is>
          <t>CLOSTRIDIUM_PERFRENGENS</t>
        </is>
      </c>
      <c r="C466" s="1" t="n">
        <v>1045</v>
      </c>
      <c r="E466">
        <f>IFERROR(IF(_xlfn.XLOOKUP(#REF!, Tableau5[Code sandre], Tableau5[Code sandre],, 0) &lt;&gt; "", 1, ""), "")</f>
        <v/>
      </c>
    </row>
    <row r="467">
      <c r="A467" t="inlineStr">
        <is>
          <t>CLOTHIANIDINE</t>
        </is>
      </c>
      <c r="B467" t="inlineStr">
        <is>
          <t>210880-92-5</t>
        </is>
      </c>
      <c r="C467" s="1" t="n">
        <v>6389</v>
      </c>
      <c r="E467">
        <f>IFERROR(IF(_xlfn.XLOOKUP(#REF!, Tableau5[Code sandre], Tableau5[Code sandre],, 0) &lt;&gt; "", 1, ""), "")</f>
        <v/>
      </c>
    </row>
    <row r="468">
      <c r="A468" t="inlineStr">
        <is>
          <t>COBALT</t>
        </is>
      </c>
      <c r="C468" s="1" t="n">
        <v>1379</v>
      </c>
      <c r="E468">
        <f>IFERROR(IF(_xlfn.XLOOKUP(#REF!, Tableau5[Code sandre], Tableau5[Code sandre],, 0) &lt;&gt; "", 1, ""), "")</f>
        <v/>
      </c>
    </row>
    <row r="469">
      <c r="A469" t="inlineStr">
        <is>
          <t>COCAINE</t>
        </is>
      </c>
      <c r="B469" t="inlineStr">
        <is>
          <t>50-36-2</t>
        </is>
      </c>
      <c r="C469" s="1" t="n">
        <v>6665</v>
      </c>
      <c r="E469">
        <f>IFERROR(IF(_xlfn.XLOOKUP(#REF!, Tableau5[Code sandre], Tableau5[Code sandre],, 0) &lt;&gt; "", 1, ""), "")</f>
        <v/>
      </c>
    </row>
    <row r="470">
      <c r="A470" t="inlineStr">
        <is>
          <t>COD</t>
        </is>
      </c>
      <c r="C470" s="1" t="n">
        <v>1841</v>
      </c>
      <c r="E470">
        <f>IFERROR(IF(_xlfn.XLOOKUP(#REF!, Tableau5[Code sandre], Tableau5[Code sandre],, 0) &lt;&gt; "", 1, ""), "")</f>
        <v/>
      </c>
    </row>
    <row r="471">
      <c r="A471" t="inlineStr">
        <is>
          <t>CODB</t>
        </is>
      </c>
      <c r="C471" s="1" t="n">
        <v>7804</v>
      </c>
      <c r="D471" t="inlineStr">
        <is>
          <t>SB</t>
        </is>
      </c>
      <c r="E471">
        <f>IFERROR(IF(_xlfn.XLOOKUP(#REF!, Tableau5[Code sandre], Tableau5[Code sandre],, 0) &lt;&gt; "", 1, ""), "")</f>
        <v/>
      </c>
    </row>
    <row r="472">
      <c r="A472" t="inlineStr">
        <is>
          <t>CODEINE</t>
        </is>
      </c>
      <c r="B472" t="inlineStr">
        <is>
          <t>76-57-3</t>
        </is>
      </c>
      <c r="C472" s="1" t="n">
        <v>6683</v>
      </c>
      <c r="E472">
        <f>IFERROR(IF(_xlfn.XLOOKUP(#REF!, Tableau5[Code sandre], Tableau5[Code sandre],, 0) &lt;&gt; "", 1, ""), "")</f>
        <v/>
      </c>
    </row>
    <row r="473">
      <c r="A473" t="inlineStr">
        <is>
          <t>COHV_TOTAUX</t>
        </is>
      </c>
      <c r="C473" s="1" t="n">
        <v>60</v>
      </c>
      <c r="E473">
        <f>IFERROR(IF(_xlfn.XLOOKUP(#REF!, Tableau5[Code sandre], Tableau5[Code sandre],, 0) &lt;&gt; "", 1, ""), "")</f>
        <v/>
      </c>
    </row>
    <row r="474">
      <c r="A474" t="inlineStr">
        <is>
          <t>COLIFORMES_THERMOTOLERANTS</t>
        </is>
      </c>
      <c r="C474" s="1" t="n">
        <v>1448</v>
      </c>
      <c r="E474">
        <f>IFERROR(IF(_xlfn.XLOOKUP(#REF!, Tableau5[Code sandre], Tableau5[Code sandre],, 0) &lt;&gt; "", 1, ""), "")</f>
        <v/>
      </c>
    </row>
    <row r="475">
      <c r="A475" t="inlineStr">
        <is>
          <t>COLIFORMES_THERMOTOLERANTS_NPP</t>
        </is>
      </c>
      <c r="C475" s="1" t="n">
        <v>1448</v>
      </c>
      <c r="E475">
        <f>IFERROR(IF(_xlfn.XLOOKUP(#REF!, Tableau5[Code sandre], Tableau5[Code sandre],, 0) &lt;&gt; "", 1, ""), "")</f>
        <v/>
      </c>
    </row>
    <row r="476">
      <c r="A476" t="inlineStr">
        <is>
          <t>COLIFORMES_TOTAUX</t>
        </is>
      </c>
      <c r="C476" s="1" t="n">
        <v>1447</v>
      </c>
      <c r="E476">
        <f>IFERROR(IF(_xlfn.XLOOKUP(#REF!, Tableau5[Code sandre], Tableau5[Code sandre],, 0) &lt;&gt; "", 1, ""), "")</f>
        <v/>
      </c>
    </row>
    <row r="477">
      <c r="A477" t="inlineStr">
        <is>
          <t>COLIFORMES_TOTAUX_OXYDASE</t>
        </is>
      </c>
      <c r="C477" s="1" t="n">
        <v>1447</v>
      </c>
      <c r="E477">
        <f>IFERROR(IF(_xlfn.XLOOKUP(#REF!, Tableau5[Code sandre], Tableau5[Code sandre],, 0) &lt;&gt; "", 1, ""), "")</f>
        <v/>
      </c>
    </row>
    <row r="478">
      <c r="A478" t="inlineStr">
        <is>
          <t>COLIFORMES_TOTAUX_REBECCA</t>
        </is>
      </c>
      <c r="C478" s="1" t="n">
        <v>1447</v>
      </c>
      <c r="E478">
        <f>IFERROR(IF(_xlfn.XLOOKUP(#REF!, Tableau5[Code sandre], Tableau5[Code sandre],, 0) &lt;&gt; "", 1, ""), "")</f>
        <v/>
      </c>
    </row>
    <row r="479">
      <c r="A479" t="inlineStr">
        <is>
          <t>COLIFORMES_TOTAUX_REPIQUAGE_PCA</t>
        </is>
      </c>
      <c r="C479" s="1" t="n">
        <v>1447</v>
      </c>
      <c r="E479">
        <f>IFERROR(IF(_xlfn.XLOOKUP(#REF!, Tableau5[Code sandre], Tableau5[Code sandre],, 0) &lt;&gt; "", 1, ""), "")</f>
        <v/>
      </c>
    </row>
    <row r="480">
      <c r="A480" t="inlineStr">
        <is>
          <t>COLIFORMES_TOTAUX_REPIQUAGE_TTC</t>
        </is>
      </c>
      <c r="C480" s="1" t="n">
        <v>1447</v>
      </c>
      <c r="E480">
        <f>IFERROR(IF(_xlfn.XLOOKUP(#REF!, Tableau5[Code sandre], Tableau5[Code sandre],, 0) &lt;&gt; "", 1, ""), "")</f>
        <v/>
      </c>
    </row>
    <row r="481">
      <c r="A481" t="inlineStr">
        <is>
          <t>CONDUCT</t>
        </is>
      </c>
      <c r="C481" s="1" t="n">
        <v>1303</v>
      </c>
      <c r="D481" t="inlineStr">
        <is>
          <t>BENZAN</t>
        </is>
      </c>
      <c r="E481">
        <f>IFERROR(IF(_xlfn.XLOOKUP(#REF!, Tableau5[Code sandre], Tableau5[Code sandre],, 0) &lt;&gt; "", 1, ""), "")</f>
        <v/>
      </c>
    </row>
    <row r="482">
      <c r="A482" t="inlineStr">
        <is>
          <t>CONDUCTIVITE_IN_SITU</t>
        </is>
      </c>
      <c r="C482" s="1" t="n">
        <v>1303</v>
      </c>
      <c r="E482">
        <f>IFERROR(IF(_xlfn.XLOOKUP(#REF!, Tableau5[Code sandre], Tableau5[Code sandre],, 0) &lt;&gt; "", 1, ""), "")</f>
        <v/>
      </c>
    </row>
    <row r="483">
      <c r="A483" t="inlineStr">
        <is>
          <t>CONDUCTIVITE_IN_SITU_PISCINES</t>
        </is>
      </c>
      <c r="C483" s="1" t="n">
        <v>1303</v>
      </c>
      <c r="E483">
        <f>IFERROR(IF(_xlfn.XLOOKUP(#REF!, Tableau5[Code sandre], Tableau5[Code sandre],, 0) &lt;&gt; "", 1, ""), "")</f>
        <v/>
      </c>
    </row>
    <row r="484">
      <c r="A484" t="inlineStr">
        <is>
          <t>COT</t>
        </is>
      </c>
      <c r="C484" s="1" t="n">
        <v>1841</v>
      </c>
      <c r="E484">
        <f>IFERROR(IF(_xlfn.XLOOKUP(#REF!, Tableau5[Code sandre], Tableau5[Code sandre],, 0) &lt;&gt; "", 1, ""), "")</f>
        <v/>
      </c>
    </row>
    <row r="485">
      <c r="A485" t="inlineStr">
        <is>
          <t>COT_NON_IMPRIMABLE</t>
        </is>
      </c>
      <c r="C485" s="1" t="n">
        <v>1841</v>
      </c>
      <c r="E485">
        <f>IFERROR(IF(_xlfn.XLOOKUP(#REF!, Tableau5[Code sandre], Tableau5[Code sandre],, 0) &lt;&gt; "", 1, ""), "")</f>
        <v/>
      </c>
    </row>
    <row r="486">
      <c r="A486" t="inlineStr">
        <is>
          <t>COT_PISCINE</t>
        </is>
      </c>
      <c r="C486" s="1" t="n">
        <v>1841</v>
      </c>
      <c r="E486">
        <f>IFERROR(IF(_xlfn.XLOOKUP(#REF!, Tableau5[Code sandre], Tableau5[Code sandre],, 0) &lt;&gt; "", 1, ""), "")</f>
        <v/>
      </c>
    </row>
    <row r="487">
      <c r="A487" t="inlineStr">
        <is>
          <t>COT_ST</t>
        </is>
      </c>
      <c r="C487" s="1" t="n">
        <v>1841</v>
      </c>
      <c r="E487">
        <f>IFERROR(IF(_xlfn.XLOOKUP(#REF!, Tableau5[Code sandre], Tableau5[Code sandre],, 0) &lt;&gt; "", 1, ""), "")</f>
        <v/>
      </c>
    </row>
    <row r="488">
      <c r="A488" t="inlineStr">
        <is>
          <t>COULEUR</t>
        </is>
      </c>
      <c r="C488" s="1" t="n">
        <v>5900</v>
      </c>
      <c r="D488" t="inlineStr">
        <is>
          <t>AMTH</t>
        </is>
      </c>
      <c r="E488">
        <f>IFERROR(IF(_xlfn.XLOOKUP(#REF!, Tableau5[Code sandre], Tableau5[Code sandre],, 0) &lt;&gt; "", 1, ""), "")</f>
        <v/>
      </c>
    </row>
    <row r="489">
      <c r="A489" t="inlineStr">
        <is>
          <t>COULEUR_IN_SITU</t>
        </is>
      </c>
      <c r="C489" s="1" t="n">
        <v>5900</v>
      </c>
      <c r="E489">
        <f>IFERROR(IF(_xlfn.XLOOKUP(#REF!, Tableau5[Code sandre], Tableau5[Code sandre],, 0) &lt;&gt; "", 1, ""), "")</f>
        <v/>
      </c>
    </row>
    <row r="490">
      <c r="A490" t="inlineStr">
        <is>
          <t>COUMATETRALYL</t>
        </is>
      </c>
      <c r="B490" t="inlineStr">
        <is>
          <t>5836-29-3</t>
        </is>
      </c>
      <c r="C490" s="1" t="n">
        <v>2019</v>
      </c>
      <c r="E490">
        <f>IFERROR(IF(_xlfn.XLOOKUP(#REF!, Tableau5[Code sandre], Tableau5[Code sandre],, 0) &lt;&gt; "", 1, ""), "")</f>
        <v/>
      </c>
    </row>
    <row r="491">
      <c r="A491" t="inlineStr">
        <is>
          <t>CRESOLS_OMP</t>
        </is>
      </c>
      <c r="B491" t="inlineStr">
        <is>
          <t>1319-77-3</t>
        </is>
      </c>
      <c r="C491" s="1" t="n">
        <v>5275</v>
      </c>
      <c r="E491">
        <f>IFERROR(IF(_xlfn.XLOOKUP(#REF!, Tableau5[Code sandre], Tableau5[Code sandre],, 0) &lt;&gt; "", 1, ""), "")</f>
        <v/>
      </c>
    </row>
    <row r="492">
      <c r="A492" t="inlineStr">
        <is>
          <t>CUIVRE</t>
        </is>
      </c>
      <c r="C492" s="1" t="n">
        <v>1392</v>
      </c>
      <c r="E492">
        <f>IFERROR(IF(_xlfn.XLOOKUP(#REF!, Tableau5[Code sandre], Tableau5[Code sandre],, 0) &lt;&gt; "", 1, ""), "")</f>
        <v/>
      </c>
    </row>
    <row r="493">
      <c r="A493" t="inlineStr">
        <is>
          <t>CYANAMIDE</t>
        </is>
      </c>
      <c r="B493" t="inlineStr">
        <is>
          <t>420-04-2</t>
        </is>
      </c>
      <c r="C493" s="1" t="n">
        <v>5566</v>
      </c>
      <c r="E493">
        <f>IFERROR(IF(_xlfn.XLOOKUP(#REF!, Tableau5[Code sandre], Tableau5[Code sandre],, 0) &lt;&gt; "", 1, ""), "")</f>
        <v/>
      </c>
    </row>
    <row r="494">
      <c r="A494" t="inlineStr">
        <is>
          <t>CYANAZINE</t>
        </is>
      </c>
      <c r="B494" t="inlineStr">
        <is>
          <t>21725-46-2</t>
        </is>
      </c>
      <c r="C494" s="1" t="n">
        <v>1137</v>
      </c>
      <c r="E494">
        <f>IFERROR(IF(_xlfn.XLOOKUP(#REF!, Tableau5[Code sandre], Tableau5[Code sandre],, 0) &lt;&gt; "", 1, ""), "")</f>
        <v/>
      </c>
    </row>
    <row r="495">
      <c r="A495" t="inlineStr">
        <is>
          <t>CYANURES_LIBRES</t>
        </is>
      </c>
      <c r="C495" s="1" t="n">
        <v>1084</v>
      </c>
      <c r="D495" t="inlineStr">
        <is>
          <t>BE</t>
        </is>
      </c>
      <c r="E495">
        <f>IFERROR(IF(_xlfn.XLOOKUP(#REF!, Tableau5[Code sandre], Tableau5[Code sandre],, 0) &lt;&gt; "", 1, ""), "")</f>
        <v/>
      </c>
    </row>
    <row r="496">
      <c r="A496" t="inlineStr">
        <is>
          <t>CYAZOFAMIDE</t>
        </is>
      </c>
      <c r="B496" t="inlineStr">
        <is>
          <t>120116-88-3</t>
        </is>
      </c>
      <c r="C496" s="1" t="n">
        <v>5567</v>
      </c>
      <c r="E496">
        <f>IFERROR(IF(_xlfn.XLOOKUP(#REF!, Tableau5[Code sandre], Tableau5[Code sandre],, 0) &lt;&gt; "", 1, ""), "")</f>
        <v/>
      </c>
    </row>
    <row r="497">
      <c r="A497" t="inlineStr">
        <is>
          <t>CYBUTRINE</t>
        </is>
      </c>
      <c r="B497" t="inlineStr">
        <is>
          <t>28159-98-0</t>
        </is>
      </c>
      <c r="C497" s="1" t="n">
        <v>1935</v>
      </c>
      <c r="E497">
        <f>IFERROR(IF(_xlfn.XLOOKUP(#REF!, Tableau5[Code sandre], Tableau5[Code sandre],, 0) &lt;&gt; "", 1, ""), "")</f>
        <v/>
      </c>
    </row>
    <row r="498">
      <c r="A498" t="inlineStr">
        <is>
          <t>CYBUTRINE_ST</t>
        </is>
      </c>
      <c r="C498" s="1" t="n">
        <v>1935</v>
      </c>
      <c r="E498">
        <f>IFERROR(IF(_xlfn.XLOOKUP(#REF!, Tableau5[Code sandre], Tableau5[Code sandre],, 0) &lt;&gt; "", 1, ""), "")</f>
        <v/>
      </c>
    </row>
    <row r="499">
      <c r="A499" t="inlineStr">
        <is>
          <t>CYCLOHEXANE</t>
        </is>
      </c>
      <c r="C499" s="1" t="n">
        <v>1583</v>
      </c>
      <c r="E499">
        <f>IFERROR(IF(_xlfn.XLOOKUP(#REF!, Tableau5[Code sandre], Tableau5[Code sandre],, 0) &lt;&gt; "", 1, ""), "")</f>
        <v/>
      </c>
    </row>
    <row r="500">
      <c r="A500" t="inlineStr">
        <is>
          <t>CYCLOPHOSPHAMIDE</t>
        </is>
      </c>
      <c r="B500" t="inlineStr">
        <is>
          <t>50-18-0</t>
        </is>
      </c>
      <c r="C500" s="1" t="n">
        <v>6733</v>
      </c>
      <c r="E500">
        <f>IFERROR(IF(_xlfn.XLOOKUP(#REF!, Tableau5[Code sandre], Tableau5[Code sandre],, 0) &lt;&gt; "", 1, ""), "")</f>
        <v/>
      </c>
    </row>
    <row r="501">
      <c r="A501" t="inlineStr">
        <is>
          <t>CYCLOXYDIME</t>
        </is>
      </c>
      <c r="B501" t="inlineStr">
        <is>
          <t>101205-02-1</t>
        </is>
      </c>
      <c r="C501" s="1" t="n">
        <v>2729</v>
      </c>
      <c r="E501">
        <f>IFERROR(IF(_xlfn.XLOOKUP(#REF!, Tableau5[Code sandre], Tableau5[Code sandre],, 0) &lt;&gt; "", 1, ""), "")</f>
        <v/>
      </c>
    </row>
    <row r="502">
      <c r="A502" t="inlineStr">
        <is>
          <t>CYCLURON</t>
        </is>
      </c>
      <c r="B502" t="inlineStr">
        <is>
          <t>2163-69-1</t>
        </is>
      </c>
      <c r="C502" s="1" t="n">
        <v>1696</v>
      </c>
      <c r="E502">
        <f>IFERROR(IF(_xlfn.XLOOKUP(#REF!, Tableau5[Code sandre], Tableau5[Code sandre],, 0) &lt;&gt; "", 1, ""), "")</f>
        <v/>
      </c>
    </row>
    <row r="503">
      <c r="A503" t="inlineStr">
        <is>
          <t>CYFLUTHRINE_BETA</t>
        </is>
      </c>
      <c r="B503" t="inlineStr">
        <is>
          <t>1820573-27-0</t>
        </is>
      </c>
      <c r="C503" s="1" t="n">
        <v>3209</v>
      </c>
      <c r="E503">
        <f>IFERROR(IF(_xlfn.XLOOKUP(#REF!, Tableau5[Code sandre], Tableau5[Code sandre],, 0) &lt;&gt; "", 1, ""), "")</f>
        <v/>
      </c>
    </row>
    <row r="504">
      <c r="A504" t="inlineStr">
        <is>
          <t>CYMOXANIL</t>
        </is>
      </c>
      <c r="B504" t="inlineStr">
        <is>
          <t>57966-95-7</t>
        </is>
      </c>
      <c r="C504" s="1" t="n">
        <v>1139</v>
      </c>
      <c r="E504">
        <f>IFERROR(IF(_xlfn.XLOOKUP(#REF!, Tableau5[Code sandre], Tableau5[Code sandre],, 0) &lt;&gt; "", 1, ""), "")</f>
        <v/>
      </c>
    </row>
    <row r="505">
      <c r="A505" t="inlineStr">
        <is>
          <t>CYPERMETHRINE</t>
        </is>
      </c>
      <c r="B505" t="inlineStr">
        <is>
          <t>52315-07-8</t>
        </is>
      </c>
      <c r="C505" s="1" t="n">
        <v>1140</v>
      </c>
      <c r="E505">
        <f>IFERROR(IF(_xlfn.XLOOKUP(#REF!, Tableau5[Code sandre], Tableau5[Code sandre],, 0) &lt;&gt; "", 1, ""), "")</f>
        <v/>
      </c>
    </row>
    <row r="506">
      <c r="A506" t="inlineStr">
        <is>
          <t>CYPERMETRINE_ST</t>
        </is>
      </c>
      <c r="C506" s="1" t="n">
        <v>1140</v>
      </c>
      <c r="E506">
        <f>IFERROR(IF(_xlfn.XLOOKUP(#REF!, Tableau5[Code sandre], Tableau5[Code sandre],, 0) &lt;&gt; "", 1, ""), "")</f>
        <v/>
      </c>
    </row>
    <row r="507">
      <c r="A507" t="inlineStr">
        <is>
          <t>CYPHENOTRINE</t>
        </is>
      </c>
      <c r="B507" t="inlineStr">
        <is>
          <t>68085-85-8</t>
        </is>
      </c>
      <c r="C507" s="1" t="n">
        <v>1138</v>
      </c>
      <c r="E507">
        <f>IFERROR(IF(_xlfn.XLOOKUP(#REF!, Tableau5[Code sandre], Tableau5[Code sandre],, 0) &lt;&gt; "", 1, ""), "")</f>
        <v/>
      </c>
    </row>
    <row r="508">
      <c r="A508" t="inlineStr">
        <is>
          <t>CYPROCONAZOLE</t>
        </is>
      </c>
      <c r="B508" t="inlineStr">
        <is>
          <t>94361-06-5</t>
        </is>
      </c>
      <c r="C508" s="1" t="n">
        <v>1680</v>
      </c>
      <c r="E508">
        <f>IFERROR(IF(_xlfn.XLOOKUP(#REF!, Tableau5[Code sandre], Tableau5[Code sandre],, 0) &lt;&gt; "", 1, ""), "")</f>
        <v/>
      </c>
    </row>
    <row r="509">
      <c r="A509" t="inlineStr">
        <is>
          <t>CYPRODINIL</t>
        </is>
      </c>
      <c r="B509" t="inlineStr">
        <is>
          <t>121552-61-2</t>
        </is>
      </c>
      <c r="C509" s="1" t="n">
        <v>1359</v>
      </c>
      <c r="E509">
        <f>IFERROR(IF(_xlfn.XLOOKUP(#REF!, Tableau5[Code sandre], Tableau5[Code sandre],, 0) &lt;&gt; "", 1, ""), "")</f>
        <v/>
      </c>
    </row>
    <row r="510">
      <c r="A510" t="inlineStr">
        <is>
          <t>CYPRODINIL_ST</t>
        </is>
      </c>
      <c r="C510" s="1" t="n">
        <v>1359</v>
      </c>
      <c r="E510">
        <f>IFERROR(IF(_xlfn.XLOOKUP(#REF!, Tableau5[Code sandre], Tableau5[Code sandre],, 0) &lt;&gt; "", 1, ""), "")</f>
        <v/>
      </c>
    </row>
    <row r="511">
      <c r="A511" t="inlineStr">
        <is>
          <t>CYPROSULFAMIDE</t>
        </is>
      </c>
      <c r="B511" t="inlineStr">
        <is>
          <t>221667-31-8</t>
        </is>
      </c>
      <c r="C511" s="1" t="n">
        <v>7801</v>
      </c>
      <c r="E511">
        <f>IFERROR(IF(_xlfn.XLOOKUP(#REF!, Tableau5[Code sandre], Tableau5[Code sandre],, 0) &lt;&gt; "", 1, ""), "")</f>
        <v/>
      </c>
    </row>
    <row r="512">
      <c r="A512" t="inlineStr">
        <is>
          <t>CYROMAZINE</t>
        </is>
      </c>
      <c r="B512" t="inlineStr">
        <is>
          <t>66215-27-8</t>
        </is>
      </c>
      <c r="C512" s="1" t="n">
        <v>2897</v>
      </c>
      <c r="E512">
        <f>IFERROR(IF(_xlfn.XLOOKUP(#REF!, Tableau5[Code sandre], Tableau5[Code sandre],, 0) &lt;&gt; "", 1, ""), "")</f>
        <v/>
      </c>
    </row>
    <row r="513">
      <c r="A513" t="inlineStr">
        <is>
          <t>DBO5_AD2</t>
        </is>
      </c>
      <c r="C513" s="1" t="n">
        <v>1095</v>
      </c>
      <c r="E513">
        <f>IFERROR(IF(_xlfn.XLOOKUP(#REF!, Tableau5[Code sandre], Tableau5[Code sandre],, 0) &lt;&gt; "", 1, ""), "")</f>
        <v/>
      </c>
    </row>
    <row r="514">
      <c r="A514" t="inlineStr">
        <is>
          <t>DBO5_CONGEL</t>
        </is>
      </c>
      <c r="C514" s="1" t="n">
        <v>1313</v>
      </c>
      <c r="E514">
        <f>IFERROR(IF(_xlfn.XLOOKUP(#REF!, Tableau5[Code sandre], Tableau5[Code sandre],, 0) &lt;&gt; "", 1, ""), "")</f>
        <v/>
      </c>
    </row>
    <row r="515">
      <c r="A515" t="inlineStr">
        <is>
          <t>DCO</t>
        </is>
      </c>
      <c r="C515" s="1" t="n">
        <v>1314</v>
      </c>
      <c r="D515" t="inlineStr">
        <is>
          <t>BSIR</t>
        </is>
      </c>
      <c r="E515">
        <f>IFERROR(IF(_xlfn.XLOOKUP(#REF!, Tableau5[Code sandre], Tableau5[Code sandre],, 0) &lt;&gt; "", 1, ""), "")</f>
        <v/>
      </c>
    </row>
    <row r="516">
      <c r="A516" t="inlineStr">
        <is>
          <t>DECABROMODIPHENYLETHER_BDE209_ST</t>
        </is>
      </c>
      <c r="C516" s="1" t="n">
        <v>1815</v>
      </c>
      <c r="E516">
        <f>IFERROR(IF(_xlfn.XLOOKUP(#REF!, Tableau5[Code sandre], Tableau5[Code sandre],, 0) &lt;&gt; "", 1, ""), "")</f>
        <v/>
      </c>
    </row>
    <row r="517">
      <c r="A517" t="inlineStr">
        <is>
          <t>DECANE_C10</t>
        </is>
      </c>
      <c r="B517" t="inlineStr">
        <is>
          <t>124-18-5</t>
        </is>
      </c>
      <c r="C517" s="1" t="n">
        <v>2665</v>
      </c>
      <c r="E517">
        <f>IFERROR(IF(_xlfn.XLOOKUP(#REF!, Tableau5[Code sandre], Tableau5[Code sandre],, 0) &lt;&gt; "", 1, ""), "")</f>
        <v/>
      </c>
    </row>
    <row r="518">
      <c r="A518" t="inlineStr">
        <is>
          <t>DEET</t>
        </is>
      </c>
      <c r="B518" t="inlineStr">
        <is>
          <t>134-62-3</t>
        </is>
      </c>
      <c r="C518" s="1" t="n">
        <v>5797</v>
      </c>
      <c r="E518">
        <f>IFERROR(IF(_xlfn.XLOOKUP(#REF!, Tableau5[Code sandre], Tableau5[Code sandre],, 0) &lt;&gt; "", 1, ""), "")</f>
        <v/>
      </c>
    </row>
    <row r="519">
      <c r="A519" t="inlineStr">
        <is>
          <t>DEHP</t>
        </is>
      </c>
      <c r="B519" t="inlineStr">
        <is>
          <t>117-81-7</t>
        </is>
      </c>
      <c r="C519" s="1" t="n">
        <v>1461</v>
      </c>
      <c r="E519">
        <f>IFERROR(IF(_xlfn.XLOOKUP(#REF!, Tableau5[Code sandre], Tableau5[Code sandre],, 0) &lt;&gt; "", 1, ""), "")</f>
        <v/>
      </c>
    </row>
    <row r="520">
      <c r="A520" t="inlineStr">
        <is>
          <t>DELTAMETHRINE</t>
        </is>
      </c>
      <c r="B520" t="inlineStr">
        <is>
          <t>52918-63-5</t>
        </is>
      </c>
      <c r="C520" s="1" t="n">
        <v>1149</v>
      </c>
      <c r="D520" t="inlineStr">
        <is>
          <t>ASP</t>
        </is>
      </c>
      <c r="E520">
        <f>IFERROR(IF(_xlfn.XLOOKUP(#REF!, Tableau5[Code sandre], Tableau5[Code sandre],, 0) &lt;&gt; "", 1, ""), "")</f>
        <v/>
      </c>
    </row>
    <row r="521">
      <c r="A521" t="inlineStr">
        <is>
          <t>DEMETON_METHYL</t>
        </is>
      </c>
      <c r="B521" t="inlineStr">
        <is>
          <t>8022-00-2</t>
        </is>
      </c>
      <c r="C521" s="1" t="n">
        <v>8275</v>
      </c>
      <c r="D521" t="inlineStr">
        <is>
          <t>BR</t>
        </is>
      </c>
      <c r="E521">
        <f>IFERROR(IF(_xlfn.XLOOKUP(#REF!, Tableau5[Code sandre], Tableau5[Code sandre],, 0) &lt;&gt; "", 1, ""), "")</f>
        <v/>
      </c>
    </row>
    <row r="522">
      <c r="A522" t="inlineStr">
        <is>
          <t>DESETHYLATRAZINE</t>
        </is>
      </c>
      <c r="B522" t="inlineStr">
        <is>
          <t>6190-65-4</t>
        </is>
      </c>
      <c r="C522" s="1" t="n">
        <v>1108</v>
      </c>
      <c r="E522">
        <f>IFERROR(IF(_xlfn.XLOOKUP(#REF!, Tableau5[Code sandre], Tableau5[Code sandre],, 0) &lt;&gt; "", 1, ""), "")</f>
        <v/>
      </c>
    </row>
    <row r="523">
      <c r="A523" t="inlineStr">
        <is>
          <t>DESETHYL-DESISOPROPYL-ATRAZINE</t>
        </is>
      </c>
      <c r="B523" t="inlineStr">
        <is>
          <t>3397-62-4</t>
        </is>
      </c>
      <c r="C523" s="1" t="n">
        <v>1830</v>
      </c>
      <c r="E523">
        <f>IFERROR(IF(_xlfn.XLOOKUP(#REF!, Tableau5[Code sandre], Tableau5[Code sandre],, 0) &lt;&gt; "", 1, ""), "")</f>
        <v/>
      </c>
    </row>
    <row r="524">
      <c r="A524" t="inlineStr">
        <is>
          <t>DESETHYLSIMAZINE</t>
        </is>
      </c>
      <c r="B524" t="inlineStr">
        <is>
          <t>1007-28-9</t>
        </is>
      </c>
      <c r="C524" s="1" t="n">
        <v>1109</v>
      </c>
      <c r="D524" t="inlineStr">
        <is>
          <t>PFOS</t>
        </is>
      </c>
      <c r="E524">
        <f>IFERROR(IF(_xlfn.XLOOKUP(#REF!, Tableau5[Code sandre], Tableau5[Code sandre],, 0) &lt;&gt; "", 1, ""), "")</f>
        <v/>
      </c>
    </row>
    <row r="525">
      <c r="A525" t="inlineStr">
        <is>
          <t>DESETHYLTERBUTHYLAZINE</t>
        </is>
      </c>
      <c r="B525" t="inlineStr">
        <is>
          <t>30125-63-4</t>
        </is>
      </c>
      <c r="C525" s="1" t="n">
        <v>2045</v>
      </c>
      <c r="E525">
        <f>IFERROR(IF(_xlfn.XLOOKUP(#REF!, Tableau5[Code sandre], Tableau5[Code sandre],, 0) &lt;&gt; "", 1, ""), "")</f>
        <v/>
      </c>
    </row>
    <row r="526">
      <c r="A526" t="inlineStr">
        <is>
          <t>DESMETHRYNE</t>
        </is>
      </c>
      <c r="B526" t="inlineStr">
        <is>
          <t>1014-69-3</t>
        </is>
      </c>
      <c r="C526" s="1" t="n">
        <v>1155</v>
      </c>
      <c r="E526">
        <f>IFERROR(IF(_xlfn.XLOOKUP(#REF!, Tableau5[Code sandre], Tableau5[Code sandre],, 0) &lt;&gt; "", 1, ""), "")</f>
        <v/>
      </c>
    </row>
    <row r="527">
      <c r="A527" t="inlineStr">
        <is>
          <t>DESMETHYL_NORFLURAZON</t>
        </is>
      </c>
      <c r="B527" t="inlineStr">
        <is>
          <t>23576-24-1</t>
        </is>
      </c>
      <c r="C527" s="1" t="n">
        <v>2737</v>
      </c>
      <c r="E527">
        <f>IFERROR(IF(_xlfn.XLOOKUP(#REF!, Tableau5[Code sandre], Tableau5[Code sandre],, 0) &lt;&gt; "", 1, ""), "")</f>
        <v/>
      </c>
    </row>
    <row r="528">
      <c r="A528" t="inlineStr">
        <is>
          <t>DESMETHYLVENLAFLAXINE</t>
        </is>
      </c>
      <c r="B528" t="inlineStr">
        <is>
          <t>93413-62-8</t>
        </is>
      </c>
      <c r="C528" s="1" t="n">
        <v>6785</v>
      </c>
      <c r="E528">
        <f>IFERROR(IF(_xlfn.XLOOKUP(#REF!, Tableau5[Code sandre], Tableau5[Code sandre],, 0) &lt;&gt; "", 1, ""), "")</f>
        <v/>
      </c>
    </row>
    <row r="529">
      <c r="A529" t="inlineStr">
        <is>
          <t>DI_N-BUTYL_PHTALATE</t>
        </is>
      </c>
      <c r="B529" t="inlineStr">
        <is>
          <t>84-74-2</t>
        </is>
      </c>
      <c r="C529" s="1" t="n">
        <v>1462</v>
      </c>
      <c r="E529">
        <f>IFERROR(IF(_xlfn.XLOOKUP(#REF!, Tableau5[Code sandre], Tableau5[Code sandre],, 0) &lt;&gt; "", 1, ""), "")</f>
        <v/>
      </c>
    </row>
    <row r="530">
      <c r="A530" t="inlineStr">
        <is>
          <t>DI_N-OCTYL_PHTALATE</t>
        </is>
      </c>
      <c r="B530" t="inlineStr">
        <is>
          <t>117-84-0</t>
        </is>
      </c>
      <c r="C530" s="1" t="n">
        <v>3342</v>
      </c>
      <c r="E530">
        <f>IFERROR(IF(_xlfn.XLOOKUP(#REF!, Tableau5[Code sandre], Tableau5[Code sandre],, 0) &lt;&gt; "", 1, ""), "")</f>
        <v/>
      </c>
    </row>
    <row r="531">
      <c r="A531" t="inlineStr">
        <is>
          <t>DI2-ETHYLHEXYL_PHTALATE</t>
        </is>
      </c>
      <c r="B531" t="inlineStr">
        <is>
          <t>117-81-7</t>
        </is>
      </c>
      <c r="C531" s="1" t="n">
        <v>6616</v>
      </c>
      <c r="E531">
        <f>IFERROR(IF(_xlfn.XLOOKUP(#REF!, Tableau5[Code sandre], Tableau5[Code sandre],, 0) &lt;&gt; "", 1, ""), "")</f>
        <v/>
      </c>
    </row>
    <row r="532">
      <c r="A532" t="inlineStr">
        <is>
          <t>DI2-ETHYLHEXYL_PHTALATE_ST</t>
        </is>
      </c>
      <c r="C532" s="1" t="n">
        <v>6616</v>
      </c>
      <c r="E532">
        <f>IFERROR(IF(_xlfn.XLOOKUP(#REF!, Tableau5[Code sandre], Tableau5[Code sandre],, 0) &lt;&gt; "", 1, ""), "")</f>
        <v/>
      </c>
    </row>
    <row r="533">
      <c r="A533" t="inlineStr">
        <is>
          <t>DIACETONE_ALCOOL</t>
        </is>
      </c>
      <c r="B533" t="inlineStr">
        <is>
          <t>123-42-2</t>
        </is>
      </c>
      <c r="C533" s="1" t="n">
        <v>5270</v>
      </c>
      <c r="D533" t="inlineStr">
        <is>
          <t>ESALCL</t>
        </is>
      </c>
      <c r="E533">
        <f>IFERROR(IF(_xlfn.XLOOKUP(#REF!, Tableau5[Code sandre], Tableau5[Code sandre],, 0) &lt;&gt; "", 1, ""), "")</f>
        <v/>
      </c>
    </row>
    <row r="534">
      <c r="A534" t="inlineStr">
        <is>
          <t>DIALLATE</t>
        </is>
      </c>
      <c r="B534" t="inlineStr">
        <is>
          <t>2303-16-4</t>
        </is>
      </c>
      <c r="C534" s="1" t="n">
        <v>1156</v>
      </c>
      <c r="E534">
        <f>IFERROR(IF(_xlfn.XLOOKUP(#REF!, Tableau5[Code sandre], Tableau5[Code sandre],, 0) &lt;&gt; "", 1, ""), "")</f>
        <v/>
      </c>
    </row>
    <row r="535">
      <c r="A535" t="inlineStr">
        <is>
          <t>DIAZEPAM</t>
        </is>
      </c>
      <c r="B535" t="inlineStr">
        <is>
          <t>439-14-5</t>
        </is>
      </c>
      <c r="C535" s="1" t="n">
        <v>5372</v>
      </c>
      <c r="D535" t="inlineStr">
        <is>
          <t>OXALCL</t>
        </is>
      </c>
      <c r="E535">
        <f>IFERROR(IF(_xlfn.XLOOKUP(#REF!, Tableau5[Code sandre], Tableau5[Code sandre],, 0) &lt;&gt; "", 1, ""), "")</f>
        <v/>
      </c>
    </row>
    <row r="536">
      <c r="A536" t="inlineStr">
        <is>
          <t>DIAZINON</t>
        </is>
      </c>
      <c r="B536" t="inlineStr">
        <is>
          <t>333-41-5</t>
        </is>
      </c>
      <c r="C536" s="1" t="n">
        <v>1157</v>
      </c>
      <c r="D536" t="inlineStr">
        <is>
          <t>ESACETC</t>
        </is>
      </c>
      <c r="E536">
        <f>IFERROR(IF(_xlfn.XLOOKUP(#REF!, Tableau5[Code sandre], Tableau5[Code sandre],, 0) &lt;&gt; "", 1, ""), "")</f>
        <v/>
      </c>
    </row>
    <row r="537">
      <c r="A537" t="inlineStr">
        <is>
          <t>DIBENZOAHANTHRACENE</t>
        </is>
      </c>
      <c r="B537" t="inlineStr">
        <is>
          <t>53-70-3</t>
        </is>
      </c>
      <c r="C537" s="1" t="n">
        <v>1621</v>
      </c>
      <c r="D537" t="inlineStr">
        <is>
          <t>CETCOXA</t>
        </is>
      </c>
      <c r="E537">
        <f>IFERROR(IF(_xlfn.XLOOKUP(#REF!, Tableau5[Code sandre], Tableau5[Code sandre],, 0) &lt;&gt; "", 1, ""), "")</f>
        <v/>
      </c>
    </row>
    <row r="538">
      <c r="A538" t="inlineStr">
        <is>
          <t>DIBROMOACETONITRILE</t>
        </is>
      </c>
      <c r="B538" t="inlineStr">
        <is>
          <t>3252-43-5</t>
        </is>
      </c>
      <c r="C538" s="1" t="n">
        <v>1738</v>
      </c>
      <c r="D538" t="inlineStr">
        <is>
          <t>ANALG04</t>
        </is>
      </c>
      <c r="E538">
        <f>IFERROR(IF(_xlfn.XLOOKUP(#REF!, Tableau5[Code sandre], Tableau5[Code sandre],, 0) &lt;&gt; "", 1, ""), "")</f>
        <v/>
      </c>
    </row>
    <row r="539">
      <c r="A539" t="inlineStr">
        <is>
          <t>DIBROMOMETHANE</t>
        </is>
      </c>
      <c r="B539" t="inlineStr">
        <is>
          <t>74-95-3</t>
        </is>
      </c>
      <c r="C539" s="1" t="n">
        <v>1513</v>
      </c>
      <c r="E539">
        <f>IFERROR(IF(_xlfn.XLOOKUP(#REF!, Tableau5[Code sandre], Tableau5[Code sandre],, 0) &lt;&gt; "", 1, ""), "")</f>
        <v/>
      </c>
    </row>
    <row r="540">
      <c r="A540" t="inlineStr">
        <is>
          <t>DIBUTYLETAIN_CATION</t>
        </is>
      </c>
      <c r="B540" t="inlineStr">
        <is>
          <t>1002-53-5</t>
        </is>
      </c>
      <c r="C540" s="1" t="n">
        <v>7074</v>
      </c>
      <c r="E540">
        <f>IFERROR(IF(_xlfn.XLOOKUP(#REF!, Tableau5[Code sandre], Tableau5[Code sandre],, 0) &lt;&gt; "", 1, ""), "")</f>
        <v/>
      </c>
    </row>
    <row r="541">
      <c r="A541" t="inlineStr">
        <is>
          <t>DIBUTYLETAIN_CATION_ST</t>
        </is>
      </c>
      <c r="C541" s="1" t="n">
        <v>7074</v>
      </c>
      <c r="E541">
        <f>IFERROR(IF(_xlfn.XLOOKUP(#REF!, Tableau5[Code sandre], Tableau5[Code sandre],, 0) &lt;&gt; "", 1, ""), "")</f>
        <v/>
      </c>
    </row>
    <row r="542">
      <c r="A542" t="inlineStr">
        <is>
          <t>DICAMBA_LIBRE</t>
        </is>
      </c>
      <c r="B542" t="inlineStr">
        <is>
          <t>1918-00-9</t>
        </is>
      </c>
      <c r="C542" s="1" t="n">
        <v>1480</v>
      </c>
      <c r="E542">
        <f>IFERROR(IF(_xlfn.XLOOKUP(#REF!, Tableau5[Code sandre], Tableau5[Code sandre],, 0) &lt;&gt; "", 1, ""), "")</f>
        <v/>
      </c>
    </row>
    <row r="543">
      <c r="A543" t="inlineStr">
        <is>
          <t>DICAMBA_ST</t>
        </is>
      </c>
      <c r="C543" s="1" t="n">
        <v>1480</v>
      </c>
      <c r="E543">
        <f>IFERROR(IF(_xlfn.XLOOKUP(#REF!, Tableau5[Code sandre], Tableau5[Code sandre],, 0) &lt;&gt; "", 1, ""), "")</f>
        <v/>
      </c>
    </row>
    <row r="544">
      <c r="A544" t="inlineStr">
        <is>
          <t>DICAMBA_TOTAL</t>
        </is>
      </c>
      <c r="C544" t="n">
        <v>1480</v>
      </c>
      <c r="E544">
        <f>IFERROR(IF(_xlfn.XLOOKUP(#REF!, Tableau5[Code sandre], Tableau5[Code sandre],, 0) &lt;&gt; "", 1, ""), "")</f>
        <v/>
      </c>
    </row>
    <row r="545">
      <c r="A545" t="inlineStr">
        <is>
          <t>DICHLOBENIL</t>
        </is>
      </c>
      <c r="B545" t="inlineStr">
        <is>
          <t>1194-65-6</t>
        </is>
      </c>
      <c r="C545" s="1" t="n">
        <v>1679</v>
      </c>
      <c r="E545">
        <f>IFERROR(IF(_xlfn.XLOOKUP(#REF!, Tableau5[Code sandre], Tableau5[Code sandre],, 0) &lt;&gt; "", 1, ""), "")</f>
        <v/>
      </c>
    </row>
    <row r="546">
      <c r="A546" t="inlineStr">
        <is>
          <t>DICHLORMID</t>
        </is>
      </c>
      <c r="C546" s="1" t="n">
        <v>2929</v>
      </c>
      <c r="E546">
        <f>IFERROR(IF(_xlfn.XLOOKUP(#REF!, Tableau5[Code sandre], Tableau5[Code sandre],, 0) &lt;&gt; "", 1, ""), "")</f>
        <v/>
      </c>
    </row>
    <row r="547">
      <c r="A547" t="inlineStr">
        <is>
          <t>DICHLOROACETONITRILE</t>
        </is>
      </c>
      <c r="B547" t="inlineStr">
        <is>
          <t>3018-12-0</t>
        </is>
      </c>
      <c r="C547" s="1" t="n">
        <v>1740</v>
      </c>
      <c r="E547">
        <f>IFERROR(IF(_xlfn.XLOOKUP(#REF!, Tableau5[Code sandre], Tableau5[Code sandre],, 0) &lt;&gt; "", 1, ""), "")</f>
        <v/>
      </c>
    </row>
    <row r="548">
      <c r="A548" t="inlineStr">
        <is>
          <t>DICHLOROBENZIDINE</t>
        </is>
      </c>
      <c r="B548" t="inlineStr">
        <is>
          <t>91-94-1</t>
        </is>
      </c>
      <c r="C548" s="1" t="n">
        <v>1484</v>
      </c>
      <c r="E548">
        <f>IFERROR(IF(_xlfn.XLOOKUP(#REF!, Tableau5[Code sandre], Tableau5[Code sandre],, 0) &lt;&gt; "", 1, ""), "")</f>
        <v/>
      </c>
    </row>
    <row r="549">
      <c r="A549" t="inlineStr">
        <is>
          <t>DICHLOROIODOMÉTHANE</t>
        </is>
      </c>
      <c r="B549" t="inlineStr">
        <is>
          <t>594-04-7</t>
        </is>
      </c>
      <c r="C549" s="1" t="n">
        <v>7062</v>
      </c>
      <c r="E549">
        <f>IFERROR(IF(_xlfn.XLOOKUP(#REF!, Tableau5[Code sandre], Tableau5[Code sandre],, 0) &lt;&gt; "", 1, ""), "")</f>
        <v/>
      </c>
    </row>
    <row r="550">
      <c r="A550" t="inlineStr">
        <is>
          <t>DICHLOROMETHANE</t>
        </is>
      </c>
      <c r="B550" t="inlineStr">
        <is>
          <t>75-09-2</t>
        </is>
      </c>
      <c r="C550" s="1" t="n">
        <v>1168</v>
      </c>
      <c r="E550">
        <f>IFERROR(IF(_xlfn.XLOOKUP(#REF!, Tableau5[Code sandre], Tableau5[Code sandre],, 0) &lt;&gt; "", 1, ""), "")</f>
        <v/>
      </c>
    </row>
    <row r="551">
      <c r="A551" t="inlineStr">
        <is>
          <t>DICHLOROMONOBROMOMETHANE</t>
        </is>
      </c>
      <c r="B551" t="inlineStr">
        <is>
          <t>75-27-4</t>
        </is>
      </c>
      <c r="C551" s="1" t="n">
        <v>1167</v>
      </c>
      <c r="E551">
        <f>IFERROR(IF(_xlfn.XLOOKUP(#REF!, Tableau5[Code sandre], Tableau5[Code sandre],, 0) &lt;&gt; "", 1, ""), "")</f>
        <v/>
      </c>
    </row>
    <row r="552">
      <c r="A552" t="inlineStr">
        <is>
          <t>DICHLOROPHENE</t>
        </is>
      </c>
      <c r="B552" t="inlineStr">
        <is>
          <t>97-23-4</t>
        </is>
      </c>
      <c r="C552" s="1" t="n">
        <v>2981</v>
      </c>
      <c r="E552">
        <f>IFERROR(IF(_xlfn.XLOOKUP(#REF!, Tableau5[Code sandre], Tableau5[Code sandre],, 0) &lt;&gt; "", 1, ""), "")</f>
        <v/>
      </c>
    </row>
    <row r="553">
      <c r="A553" t="inlineStr">
        <is>
          <t>DICHLORPROP_LIBRE</t>
        </is>
      </c>
      <c r="B553" t="inlineStr">
        <is>
          <t>120-36-5</t>
        </is>
      </c>
      <c r="C553" s="1" t="n">
        <v>1169</v>
      </c>
      <c r="E553">
        <f>IFERROR(IF(_xlfn.XLOOKUP(#REF!, Tableau5[Code sandre], Tableau5[Code sandre],, 0) &lt;&gt; "", 1, ""), "")</f>
        <v/>
      </c>
    </row>
    <row r="554">
      <c r="A554" t="inlineStr">
        <is>
          <t>DICHLORPROP_TOTAL</t>
        </is>
      </c>
      <c r="C554" t="n">
        <v>1169</v>
      </c>
      <c r="E554">
        <f>IFERROR(IF(_xlfn.XLOOKUP(#REF!, Tableau5[Code sandre], Tableau5[Code sandre],, 0) &lt;&gt; "", 1, ""), "")</f>
        <v/>
      </c>
    </row>
    <row r="555">
      <c r="A555" t="inlineStr">
        <is>
          <t>DICHLORVOS</t>
        </is>
      </c>
      <c r="B555" t="inlineStr">
        <is>
          <t>62-73-7</t>
        </is>
      </c>
      <c r="C555" s="1" t="n">
        <v>1170</v>
      </c>
      <c r="E555">
        <f>IFERROR(IF(_xlfn.XLOOKUP(#REF!, Tableau5[Code sandre], Tableau5[Code sandre],, 0) &lt;&gt; "", 1, ""), "")</f>
        <v/>
      </c>
    </row>
    <row r="556">
      <c r="A556" t="inlineStr">
        <is>
          <t>DICHLORVOS_ST</t>
        </is>
      </c>
      <c r="C556" s="1" t="n">
        <v>1170</v>
      </c>
      <c r="E556">
        <f>IFERROR(IF(_xlfn.XLOOKUP(#REF!, Tableau5[Code sandre], Tableau5[Code sandre],, 0) &lt;&gt; "", 1, ""), "")</f>
        <v/>
      </c>
    </row>
    <row r="557">
      <c r="A557" t="inlineStr">
        <is>
          <t>DICHORVOS</t>
        </is>
      </c>
      <c r="B557" t="inlineStr">
        <is>
          <t>62-73-7</t>
        </is>
      </c>
      <c r="C557" s="1" t="n">
        <v>1170</v>
      </c>
      <c r="E557">
        <f>IFERROR(IF(_xlfn.XLOOKUP(#REF!, Tableau5[Code sandre], Tableau5[Code sandre],, 0) &lt;&gt; "", 1, ""), "")</f>
        <v/>
      </c>
    </row>
    <row r="558">
      <c r="A558" t="inlineStr">
        <is>
          <t>DICLOFENAC</t>
        </is>
      </c>
      <c r="B558" t="inlineStr">
        <is>
          <t>15307-86-5</t>
        </is>
      </c>
      <c r="C558" s="1" t="n">
        <v>5349</v>
      </c>
      <c r="D558" t="inlineStr">
        <is>
          <t>BIX</t>
        </is>
      </c>
      <c r="E558">
        <f>IFERROR(IF(_xlfn.XLOOKUP(#REF!, Tableau5[Code sandre], Tableau5[Code sandre],, 0) &lt;&gt; "", 1, ""), "")</f>
        <v/>
      </c>
    </row>
    <row r="559">
      <c r="A559" t="inlineStr">
        <is>
          <t>DICLOFOP_METHYL</t>
        </is>
      </c>
      <c r="B559" t="inlineStr">
        <is>
          <t>51338-27-3</t>
        </is>
      </c>
      <c r="C559" s="1" t="n">
        <v>1171</v>
      </c>
      <c r="D559" t="inlineStr">
        <is>
          <t>BEFLU</t>
        </is>
      </c>
      <c r="E559">
        <f>IFERROR(IF(_xlfn.XLOOKUP(#REF!, Tableau5[Code sandre], Tableau5[Code sandre],, 0) &lt;&gt; "", 1, ""), "")</f>
        <v/>
      </c>
    </row>
    <row r="560">
      <c r="A560" t="inlineStr">
        <is>
          <t>DICLORAN</t>
        </is>
      </c>
      <c r="B560" t="inlineStr">
        <is>
          <t>99-30-9</t>
        </is>
      </c>
      <c r="C560" s="1" t="n">
        <v>5733</v>
      </c>
      <c r="E560">
        <f>IFERROR(IF(_xlfn.XLOOKUP(#REF!, Tableau5[Code sandre], Tableau5[Code sandre],, 0) &lt;&gt; "", 1, ""), "")</f>
        <v/>
      </c>
    </row>
    <row r="561">
      <c r="A561" t="inlineStr">
        <is>
          <t>DICOFOL</t>
        </is>
      </c>
      <c r="B561" t="inlineStr">
        <is>
          <t>115-32-2</t>
        </is>
      </c>
      <c r="C561" s="1" t="n">
        <v>1172</v>
      </c>
      <c r="E561">
        <f>IFERROR(IF(_xlfn.XLOOKUP(#REF!, Tableau5[Code sandre], Tableau5[Code sandre],, 0) &lt;&gt; "", 1, ""), "")</f>
        <v/>
      </c>
    </row>
    <row r="562">
      <c r="A562" t="inlineStr">
        <is>
          <t>DICOFOL_ST</t>
        </is>
      </c>
      <c r="C562" s="1" t="n">
        <v>1172</v>
      </c>
      <c r="E562">
        <f>IFERROR(IF(_xlfn.XLOOKUP(#REF!, Tableau5[Code sandre], Tableau5[Code sandre],, 0) &lt;&gt; "", 1, ""), "")</f>
        <v/>
      </c>
    </row>
    <row r="563">
      <c r="A563" t="inlineStr">
        <is>
          <t>DIDP</t>
        </is>
      </c>
      <c r="B563" t="inlineStr">
        <is>
          <t>26761-40-0</t>
        </is>
      </c>
      <c r="C563" s="1" t="n">
        <v>6658</v>
      </c>
      <c r="E563">
        <f>IFERROR(IF(_xlfn.XLOOKUP(#REF!, Tableau5[Code sandre], Tableau5[Code sandre],, 0) &lt;&gt; "", 1, ""), "")</f>
        <v/>
      </c>
    </row>
    <row r="564">
      <c r="A564" t="inlineStr">
        <is>
          <t>DIELDRINE</t>
        </is>
      </c>
      <c r="B564" t="inlineStr">
        <is>
          <t>60-57-1</t>
        </is>
      </c>
      <c r="C564" s="1" t="n">
        <v>1173</v>
      </c>
      <c r="D564" t="inlineStr">
        <is>
          <t>BENZOZ</t>
        </is>
      </c>
      <c r="E564">
        <f>IFERROR(IF(_xlfn.XLOOKUP(#REF!, Tableau5[Code sandre], Tableau5[Code sandre],, 0) &lt;&gt; "", 1, ""), "")</f>
        <v/>
      </c>
    </row>
    <row r="565">
      <c r="A565" t="inlineStr">
        <is>
          <t>DIETHANOLAMINE</t>
        </is>
      </c>
      <c r="B565" t="inlineStr">
        <is>
          <t>111-42-2</t>
        </is>
      </c>
      <c r="C565" s="1" t="n">
        <v>6619</v>
      </c>
      <c r="E565">
        <f>IFERROR(IF(_xlfn.XLOOKUP(#REF!, Tableau5[Code sandre], Tableau5[Code sandre],, 0) &lt;&gt; "", 1, ""), "")</f>
        <v/>
      </c>
    </row>
    <row r="566">
      <c r="A566" t="inlineStr">
        <is>
          <t>DIETHION</t>
        </is>
      </c>
      <c r="B566" t="inlineStr">
        <is>
          <t>563-12-2</t>
        </is>
      </c>
      <c r="C566" s="1" t="n">
        <v>1183</v>
      </c>
      <c r="E566">
        <f>IFERROR(IF(_xlfn.XLOOKUP(#REF!, Tableau5[Code sandre], Tableau5[Code sandre],, 0) &lt;&gt; "", 1, ""), "")</f>
        <v/>
      </c>
    </row>
    <row r="567">
      <c r="A567" t="inlineStr">
        <is>
          <t>DIETHOFENCARBE</t>
        </is>
      </c>
      <c r="B567" t="inlineStr">
        <is>
          <t>87130-20-9</t>
        </is>
      </c>
      <c r="C567" s="1" t="n">
        <v>1402</v>
      </c>
      <c r="E567">
        <f>IFERROR(IF(_xlfn.XLOOKUP(#REF!, Tableau5[Code sandre], Tableau5[Code sandre],, 0) &lt;&gt; "", 1, ""), "")</f>
        <v/>
      </c>
    </row>
    <row r="568">
      <c r="A568" t="inlineStr">
        <is>
          <t>DIETHYL_PHTALATE</t>
        </is>
      </c>
      <c r="B568" t="inlineStr">
        <is>
          <t>84-66-2</t>
        </is>
      </c>
      <c r="C568" s="1" t="n">
        <v>1527</v>
      </c>
      <c r="E568">
        <f>IFERROR(IF(_xlfn.XLOOKUP(#REF!, Tableau5[Code sandre], Tableau5[Code sandre],, 0) &lt;&gt; "", 1, ""), "")</f>
        <v/>
      </c>
    </row>
    <row r="569">
      <c r="A569" t="inlineStr">
        <is>
          <t>DIETHYLAMINE</t>
        </is>
      </c>
      <c r="B569" t="inlineStr">
        <is>
          <t>109-89-7</t>
        </is>
      </c>
      <c r="C569" s="1" t="n">
        <v>2826</v>
      </c>
      <c r="E569">
        <f>IFERROR(IF(_xlfn.XLOOKUP(#REF!, Tableau5[Code sandre], Tableau5[Code sandre],, 0) &lt;&gt; "", 1, ""), "")</f>
        <v/>
      </c>
    </row>
    <row r="570">
      <c r="A570" t="inlineStr">
        <is>
          <t>DIETHYLENE_GLYCOL</t>
        </is>
      </c>
      <c r="B570" t="inlineStr">
        <is>
          <t>111-46-6</t>
        </is>
      </c>
      <c r="C570" s="1" t="n">
        <v>2716</v>
      </c>
      <c r="D570" t="inlineStr">
        <is>
          <t>AMINP</t>
        </is>
      </c>
      <c r="E570">
        <f>IFERROR(IF(_xlfn.XLOOKUP(#REF!, Tableau5[Code sandre], Tableau5[Code sandre],, 0) &lt;&gt; "", 1, ""), "")</f>
        <v/>
      </c>
    </row>
    <row r="571">
      <c r="A571" t="inlineStr">
        <is>
          <t>DIFENACOUM</t>
        </is>
      </c>
      <c r="B571" t="inlineStr">
        <is>
          <t>56073-07-5</t>
        </is>
      </c>
      <c r="C571" s="1" t="n">
        <v>2982</v>
      </c>
      <c r="E571">
        <f>IFERROR(IF(_xlfn.XLOOKUP(#REF!, Tableau5[Code sandre], Tableau5[Code sandre],, 0) &lt;&gt; "", 1, ""), "")</f>
        <v/>
      </c>
    </row>
    <row r="572">
      <c r="A572" t="inlineStr">
        <is>
          <t>DIFENOCONAZOLE</t>
        </is>
      </c>
      <c r="B572" t="inlineStr">
        <is>
          <t>119446-68-3</t>
        </is>
      </c>
      <c r="C572" s="1" t="n">
        <v>1905</v>
      </c>
      <c r="E572">
        <f>IFERROR(IF(_xlfn.XLOOKUP(#REF!, Tableau5[Code sandre], Tableau5[Code sandre],, 0) &lt;&gt; "", 1, ""), "")</f>
        <v/>
      </c>
    </row>
    <row r="573">
      <c r="A573" t="inlineStr">
        <is>
          <t>DIFLUBENZURON</t>
        </is>
      </c>
      <c r="B573" t="inlineStr">
        <is>
          <t>3567-38-5</t>
        </is>
      </c>
      <c r="C573" s="1" t="n">
        <v>1488</v>
      </c>
      <c r="E573">
        <f>IFERROR(IF(_xlfn.XLOOKUP(#REF!, Tableau5[Code sandre], Tableau5[Code sandre],, 0) &lt;&gt; "", 1, ""), "")</f>
        <v/>
      </c>
    </row>
    <row r="574">
      <c r="A574" t="inlineStr">
        <is>
          <t>DIFLUFENICANIL</t>
        </is>
      </c>
      <c r="B574" t="inlineStr">
        <is>
          <t>83164-33-4</t>
        </is>
      </c>
      <c r="C574" s="1" t="n">
        <v>1814</v>
      </c>
      <c r="E574">
        <f>IFERROR(IF(_xlfn.XLOOKUP(#REF!, Tableau5[Code sandre], Tableau5[Code sandre],, 0) &lt;&gt; "", 1, ""), "")</f>
        <v/>
      </c>
    </row>
    <row r="575">
      <c r="A575" t="inlineStr">
        <is>
          <t>DIFLUFENICANIL_ST</t>
        </is>
      </c>
      <c r="C575" s="1" t="n">
        <v>1814</v>
      </c>
      <c r="E575">
        <f>IFERROR(IF(_xlfn.XLOOKUP(#REF!, Tableau5[Code sandre], Tableau5[Code sandre],, 0) &lt;&gt; "", 1, ""), "")</f>
        <v/>
      </c>
    </row>
    <row r="576">
      <c r="A576" t="inlineStr">
        <is>
          <t>DIIODOBROMOMÉTHANE</t>
        </is>
      </c>
      <c r="B576" t="inlineStr">
        <is>
          <t>557-95-9</t>
        </is>
      </c>
      <c r="C576" s="1" t="n">
        <v>7066</v>
      </c>
      <c r="E576">
        <f>IFERROR(IF(_xlfn.XLOOKUP(#REF!, Tableau5[Code sandre], Tableau5[Code sandre],, 0) &lt;&gt; "", 1, ""), "")</f>
        <v/>
      </c>
    </row>
    <row r="577">
      <c r="A577" t="inlineStr">
        <is>
          <t>DIISOBUTYL_PHTALATE</t>
        </is>
      </c>
      <c r="B577" t="inlineStr">
        <is>
          <t>84-69-5</t>
        </is>
      </c>
      <c r="C577" s="1" t="n">
        <v>5325</v>
      </c>
      <c r="E577">
        <f>IFERROR(IF(_xlfn.XLOOKUP(#REF!, Tableau5[Code sandre], Tableau5[Code sandre],, 0) &lt;&gt; "", 1, ""), "")</f>
        <v/>
      </c>
    </row>
    <row r="578">
      <c r="A578" t="inlineStr">
        <is>
          <t>DIMEFURON</t>
        </is>
      </c>
      <c r="B578" t="inlineStr">
        <is>
          <t>34205-21-5</t>
        </is>
      </c>
      <c r="C578" s="1" t="n">
        <v>1870</v>
      </c>
      <c r="E578">
        <f>IFERROR(IF(_xlfn.XLOOKUP(#REF!, Tableau5[Code sandre], Tableau5[Code sandre],, 0) &lt;&gt; "", 1, ""), "")</f>
        <v/>
      </c>
    </row>
    <row r="579">
      <c r="A579" t="inlineStr">
        <is>
          <t>DIMETACHLORE</t>
        </is>
      </c>
      <c r="B579" t="inlineStr">
        <is>
          <t>50563-36-5</t>
        </is>
      </c>
      <c r="C579" s="1" t="n">
        <v>2546</v>
      </c>
      <c r="E579">
        <f>IFERROR(IF(_xlfn.XLOOKUP(#REF!, Tableau5[Code sandre], Tableau5[Code sandre],, 0) &lt;&gt; "", 1, ""), "")</f>
        <v/>
      </c>
    </row>
    <row r="580">
      <c r="A580" t="inlineStr">
        <is>
          <t>DIMETACHLORE_ESA</t>
        </is>
      </c>
      <c r="C580" s="1" t="n">
        <v>6381</v>
      </c>
      <c r="E580">
        <f>IFERROR(IF(_xlfn.XLOOKUP(#REF!, Tableau5[Code sandre], Tableau5[Code sandre],, 0) &lt;&gt; "", 1, ""), "")</f>
        <v/>
      </c>
    </row>
    <row r="581">
      <c r="A581" t="inlineStr">
        <is>
          <t>DIMETACHLORE_OXA</t>
        </is>
      </c>
      <c r="B581" t="inlineStr">
        <is>
          <t>1086384-49-7</t>
        </is>
      </c>
      <c r="C581" s="1" t="n">
        <v>6380</v>
      </c>
      <c r="E581">
        <f>IFERROR(IF(_xlfn.XLOOKUP(#REF!, Tableau5[Code sandre], Tableau5[Code sandre],, 0) &lt;&gt; "", 1, ""), "")</f>
        <v/>
      </c>
    </row>
    <row r="582">
      <c r="A582" t="inlineStr">
        <is>
          <t>DIMETHACHLORE_CGA_369873</t>
        </is>
      </c>
      <c r="B582" t="inlineStr">
        <is>
          <t>1418095-08-5</t>
        </is>
      </c>
      <c r="C582" s="1" t="n">
        <v>7727</v>
      </c>
      <c r="E582">
        <f>IFERROR(IF(_xlfn.XLOOKUP(#REF!, Tableau5[Code sandre], Tableau5[Code sandre],, 0) &lt;&gt; "", 1, ""), "")</f>
        <v/>
      </c>
    </row>
    <row r="583">
      <c r="A583" t="inlineStr">
        <is>
          <t>DIMETHENAMIDE</t>
        </is>
      </c>
      <c r="B583" t="inlineStr">
        <is>
          <t>87674-68-8</t>
        </is>
      </c>
      <c r="C583" s="1" t="n">
        <v>1678</v>
      </c>
      <c r="E583">
        <f>IFERROR(IF(_xlfn.XLOOKUP(#REF!, Tableau5[Code sandre], Tableau5[Code sandre],, 0) &lt;&gt; "", 1, ""), "")</f>
        <v/>
      </c>
    </row>
    <row r="584">
      <c r="A584" t="inlineStr">
        <is>
          <t>DIMETHENAMIDE_ESA</t>
        </is>
      </c>
      <c r="B584" t="inlineStr">
        <is>
          <t>205939-58-8</t>
        </is>
      </c>
      <c r="C584" s="1" t="n">
        <v>6865</v>
      </c>
      <c r="E584">
        <f>IFERROR(IF(_xlfn.XLOOKUP(#REF!, Tableau5[Code sandre], Tableau5[Code sandre],, 0) &lt;&gt; "", 1, ""), "")</f>
        <v/>
      </c>
    </row>
    <row r="585">
      <c r="A585" t="inlineStr">
        <is>
          <t>DIMETHENAMIDE_OXA</t>
        </is>
      </c>
      <c r="B585" t="inlineStr">
        <is>
          <t>380412-59-9</t>
        </is>
      </c>
      <c r="C585" s="1" t="n">
        <v>7735</v>
      </c>
      <c r="E585">
        <f>IFERROR(IF(_xlfn.XLOOKUP(#REF!, Tableau5[Code sandre], Tableau5[Code sandre],, 0) &lt;&gt; "", 1, ""), "")</f>
        <v/>
      </c>
    </row>
    <row r="586">
      <c r="A586" t="inlineStr">
        <is>
          <t>DIMETHOATE</t>
        </is>
      </c>
      <c r="B586" t="inlineStr">
        <is>
          <t>60-51-5</t>
        </is>
      </c>
      <c r="C586" s="1" t="n">
        <v>1175</v>
      </c>
      <c r="E586">
        <f>IFERROR(IF(_xlfn.XLOOKUP(#REF!, Tableau5[Code sandre], Tableau5[Code sandre],, 0) &lt;&gt; "", 1, ""), "")</f>
        <v/>
      </c>
    </row>
    <row r="587">
      <c r="A587" t="inlineStr">
        <is>
          <t>DIMETHOMORPHE</t>
        </is>
      </c>
      <c r="B587" t="inlineStr">
        <is>
          <t>110488-70-5</t>
        </is>
      </c>
      <c r="C587" s="1" t="n">
        <v>1403</v>
      </c>
      <c r="E587">
        <f>IFERROR(IF(_xlfn.XLOOKUP(#REF!, Tableau5[Code sandre], Tableau5[Code sandre],, 0) &lt;&gt; "", 1, ""), "")</f>
        <v/>
      </c>
    </row>
    <row r="588">
      <c r="A588" t="inlineStr">
        <is>
          <t>DIMETHYL_PHTALATE</t>
        </is>
      </c>
      <c r="B588" t="inlineStr">
        <is>
          <t>131-11-3</t>
        </is>
      </c>
      <c r="C588" s="1" t="n">
        <v>1489</v>
      </c>
      <c r="E588">
        <f>IFERROR(IF(_xlfn.XLOOKUP(#REF!, Tableau5[Code sandre], Tableau5[Code sandre],, 0) &lt;&gt; "", 1, ""), "")</f>
        <v/>
      </c>
    </row>
    <row r="589">
      <c r="A589" t="inlineStr">
        <is>
          <t>DIMETHYLFORMAMIDE</t>
        </is>
      </c>
      <c r="B589" t="inlineStr">
        <is>
          <t>68-12-2</t>
        </is>
      </c>
      <c r="C589" s="1" t="n">
        <v>5314</v>
      </c>
      <c r="E589">
        <f>IFERROR(IF(_xlfn.XLOOKUP(#REF!, Tableau5[Code sandre], Tableau5[Code sandre],, 0) &lt;&gt; "", 1, ""), "")</f>
        <v/>
      </c>
    </row>
    <row r="590">
      <c r="A590" t="inlineStr">
        <is>
          <t>DIMETHYLSULFOXYDE_DMSO</t>
        </is>
      </c>
      <c r="B590" t="inlineStr">
        <is>
          <t>67-68-5</t>
        </is>
      </c>
      <c r="C590" s="1" t="n">
        <v>6216</v>
      </c>
      <c r="E590">
        <f>IFERROR(IF(_xlfn.XLOOKUP(#REF!, Tableau5[Code sandre], Tableau5[Code sandre],, 0) &lt;&gt; "", 1, ""), "")</f>
        <v/>
      </c>
    </row>
    <row r="591">
      <c r="A591" t="inlineStr">
        <is>
          <t>DIMOXYSTROBINE</t>
        </is>
      </c>
      <c r="B591" t="inlineStr">
        <is>
          <t>149961-52-4</t>
        </is>
      </c>
      <c r="C591" s="1" t="n">
        <v>5748</v>
      </c>
      <c r="E591">
        <f>IFERROR(IF(_xlfn.XLOOKUP(#REF!, Tableau5[Code sandre], Tableau5[Code sandre],, 0) &lt;&gt; "", 1, ""), "")</f>
        <v/>
      </c>
    </row>
    <row r="592">
      <c r="A592" t="inlineStr">
        <is>
          <t>DINOCAP</t>
        </is>
      </c>
      <c r="C592" s="1" t="n">
        <v>5619</v>
      </c>
      <c r="E592">
        <f>IFERROR(IF(_xlfn.XLOOKUP(#REF!, Tableau5[Code sandre], Tableau5[Code sandre],, 0) &lt;&gt; "", 1, ""), "")</f>
        <v/>
      </c>
    </row>
    <row r="593">
      <c r="A593" t="inlineStr">
        <is>
          <t>DINOSEBE</t>
        </is>
      </c>
      <c r="B593" t="inlineStr">
        <is>
          <t>88-85-7</t>
        </is>
      </c>
      <c r="C593" s="1" t="n">
        <v>1491</v>
      </c>
      <c r="E593">
        <f>IFERROR(IF(_xlfn.XLOOKUP(#REF!, Tableau5[Code sandre], Tableau5[Code sandre],, 0) &lt;&gt; "", 1, ""), "")</f>
        <v/>
      </c>
    </row>
    <row r="594">
      <c r="A594" t="inlineStr">
        <is>
          <t>DINOTERBE</t>
        </is>
      </c>
      <c r="B594" t="inlineStr">
        <is>
          <t>1420-07-1</t>
        </is>
      </c>
      <c r="C594" s="1" t="n">
        <v>1176</v>
      </c>
      <c r="E594">
        <f>IFERROR(IF(_xlfn.XLOOKUP(#REF!, Tableau5[Code sandre], Tableau5[Code sandre],, 0) &lt;&gt; "", 1, ""), "")</f>
        <v/>
      </c>
    </row>
    <row r="595">
      <c r="A595" t="inlineStr">
        <is>
          <t>DIOXANE</t>
        </is>
      </c>
      <c r="B595" t="inlineStr">
        <is>
          <t>123-91-1</t>
        </is>
      </c>
      <c r="C595" s="1" t="n">
        <v>1580</v>
      </c>
      <c r="E595">
        <f>IFERROR(IF(_xlfn.XLOOKUP(#REF!, Tableau5[Code sandre], Tableau5[Code sandre],, 0) &lt;&gt; "", 1, ""), "")</f>
        <v/>
      </c>
    </row>
    <row r="596">
      <c r="A596" t="inlineStr">
        <is>
          <t>DIOXYDE_DE_SOUFRE</t>
        </is>
      </c>
      <c r="B596" t="inlineStr">
        <is>
          <t xml:space="preserve">7446-09-5
</t>
        </is>
      </c>
      <c r="C596" s="1" t="n">
        <v>3162</v>
      </c>
      <c r="E596">
        <f>IFERROR(IF(_xlfn.XLOOKUP(#REF!, Tableau5[Code sandre], Tableau5[Code sandre],, 0) &lt;&gt; "", 1, ""), "")</f>
        <v/>
      </c>
    </row>
    <row r="597">
      <c r="A597" t="inlineStr">
        <is>
          <t>DIPHENYLAMINE</t>
        </is>
      </c>
      <c r="B597" t="inlineStr">
        <is>
          <t>122-39-4</t>
        </is>
      </c>
      <c r="C597" s="1" t="n">
        <v>5478</v>
      </c>
      <c r="E597">
        <f>IFERROR(IF(_xlfn.XLOOKUP(#REF!, Tableau5[Code sandre], Tableau5[Code sandre],, 0) &lt;&gt; "", 1, ""), "")</f>
        <v/>
      </c>
    </row>
    <row r="598">
      <c r="A598" t="inlineStr">
        <is>
          <t>DIPHENYLAMINE_EXPLO</t>
        </is>
      </c>
      <c r="B598" t="inlineStr">
        <is>
          <t>122-39-4</t>
        </is>
      </c>
      <c r="C598" s="1" t="n">
        <v>5478</v>
      </c>
      <c r="E598">
        <f>IFERROR(IF(_xlfn.XLOOKUP(#REF!, Tableau5[Code sandre], Tableau5[Code sandre],, 0) &lt;&gt; "", 1, ""), "")</f>
        <v/>
      </c>
    </row>
    <row r="599">
      <c r="A599" t="inlineStr">
        <is>
          <t>DIPHENYLETAIN_CATION</t>
        </is>
      </c>
      <c r="B599" t="inlineStr">
        <is>
          <t>53675-52-8</t>
        </is>
      </c>
      <c r="C599" s="1" t="n">
        <v>7495</v>
      </c>
      <c r="E599">
        <f>IFERROR(IF(_xlfn.XLOOKUP(#REF!, Tableau5[Code sandre], Tableau5[Code sandre],, 0) &lt;&gt; "", 1, ""), "")</f>
        <v/>
      </c>
    </row>
    <row r="600">
      <c r="A600" t="inlineStr">
        <is>
          <t>DIQUAT</t>
        </is>
      </c>
      <c r="B600" t="inlineStr">
        <is>
          <t>2764-72-9</t>
        </is>
      </c>
      <c r="C600" s="1" t="n">
        <v>1699</v>
      </c>
      <c r="E600">
        <f>IFERROR(IF(_xlfn.XLOOKUP(#REF!, Tableau5[Code sandre], Tableau5[Code sandre],, 0) &lt;&gt; "", 1, ""), "")</f>
        <v/>
      </c>
    </row>
    <row r="601">
      <c r="A601" t="inlineStr">
        <is>
          <t>DISONONYLPHTALATE</t>
        </is>
      </c>
      <c r="B601" t="inlineStr">
        <is>
          <t>28553-12-0</t>
        </is>
      </c>
      <c r="C601" s="1" t="n">
        <v>6215</v>
      </c>
      <c r="E601">
        <f>IFERROR(IF(_xlfn.XLOOKUP(#REF!, Tableau5[Code sandre], Tableau5[Code sandre],, 0) &lt;&gt; "", 1, ""), "")</f>
        <v/>
      </c>
    </row>
    <row r="602">
      <c r="A602" t="inlineStr">
        <is>
          <t>DISULFOTON</t>
        </is>
      </c>
      <c r="B602" t="inlineStr">
        <is>
          <t>298-04-4</t>
        </is>
      </c>
      <c r="C602" s="1" t="n">
        <v>1492</v>
      </c>
      <c r="E602">
        <f>IFERROR(IF(_xlfn.XLOOKUP(#REF!, Tableau5[Code sandre], Tableau5[Code sandre],, 0) &lt;&gt; "", 1, ""), "")</f>
        <v/>
      </c>
    </row>
    <row r="603">
      <c r="A603" t="inlineStr">
        <is>
          <t>DISULFURE_DE_CARBONE_CS2</t>
        </is>
      </c>
      <c r="B603" t="inlineStr">
        <is>
          <t>75-15-0</t>
        </is>
      </c>
      <c r="C603" s="1" t="n">
        <v>2926</v>
      </c>
      <c r="E603">
        <f>IFERROR(IF(_xlfn.XLOOKUP(#REF!, Tableau5[Code sandre], Tableau5[Code sandre],, 0) &lt;&gt; "", 1, ""), "")</f>
        <v/>
      </c>
    </row>
    <row r="604">
      <c r="A604" t="inlineStr">
        <is>
          <t>DITHIANON</t>
        </is>
      </c>
      <c r="B604" t="inlineStr">
        <is>
          <t>3347-22-6</t>
        </is>
      </c>
      <c r="C604" s="1" t="n">
        <v>1966</v>
      </c>
      <c r="E604">
        <f>IFERROR(IF(_xlfn.XLOOKUP(#REF!, Tableau5[Code sandre], Tableau5[Code sandre],, 0) &lt;&gt; "", 1, ""), "")</f>
        <v/>
      </c>
    </row>
    <row r="605">
      <c r="A605" t="inlineStr">
        <is>
          <t>DIURON</t>
        </is>
      </c>
      <c r="B605" t="inlineStr">
        <is>
          <t>330-54-1</t>
        </is>
      </c>
      <c r="C605" s="1" t="n">
        <v>1177</v>
      </c>
      <c r="E605">
        <f>IFERROR(IF(_xlfn.XLOOKUP(#REF!, Tableau5[Code sandre], Tableau5[Code sandre],, 0) &lt;&gt; "", 1, ""), "")</f>
        <v/>
      </c>
    </row>
    <row r="606">
      <c r="A606" t="inlineStr">
        <is>
          <t>DIURON_ST</t>
        </is>
      </c>
      <c r="C606" s="1" t="n">
        <v>1177</v>
      </c>
      <c r="E606">
        <f>IFERROR(IF(_xlfn.XLOOKUP(#REF!, Tableau5[Code sandre], Tableau5[Code sandre],, 0) &lt;&gt; "", 1, ""), "")</f>
        <v/>
      </c>
    </row>
    <row r="607">
      <c r="A607" t="inlineStr">
        <is>
          <t>DNOC</t>
        </is>
      </c>
      <c r="B607" t="inlineStr">
        <is>
          <t>534-52-1</t>
        </is>
      </c>
      <c r="C607" s="1" t="n">
        <v>1490</v>
      </c>
      <c r="E607">
        <f>IFERROR(IF(_xlfn.XLOOKUP(#REF!, Tableau5[Code sandre], Tableau5[Code sandre],, 0) &lt;&gt; "", 1, ""), "")</f>
        <v/>
      </c>
    </row>
    <row r="608">
      <c r="A608" t="inlineStr">
        <is>
          <t>DURETE_CALCIQUE</t>
        </is>
      </c>
      <c r="C608" s="1" t="n">
        <v>5411</v>
      </c>
      <c r="E608">
        <f>IFERROR(IF(_xlfn.XLOOKUP(#REF!, Tableau5[Code sandre], Tableau5[Code sandre],, 0) &lt;&gt; "", 1, ""), "")</f>
        <v/>
      </c>
    </row>
    <row r="609">
      <c r="A609" t="inlineStr">
        <is>
          <t>DURETE_MAGNESIENNE</t>
        </is>
      </c>
      <c r="C609" s="1" t="n">
        <v>5412</v>
      </c>
      <c r="E609">
        <f>IFERROR(IF(_xlfn.XLOOKUP(#REF!, Tableau5[Code sandre], Tableau5[Code sandre],, 0) &lt;&gt; "", 1, ""), "")</f>
        <v/>
      </c>
    </row>
    <row r="610">
      <c r="A610" t="inlineStr">
        <is>
          <t>DURETE_TOTAL</t>
        </is>
      </c>
      <c r="C610" s="1" t="n">
        <v>1345</v>
      </c>
      <c r="E610">
        <f>IFERROR(IF(_xlfn.XLOOKUP(#REF!, Tableau5[Code sandre], Tableau5[Code sandre],, 0) &lt;&gt; "", 1, ""), "")</f>
        <v/>
      </c>
    </row>
    <row r="611">
      <c r="A611" t="inlineStr">
        <is>
          <t>DURETE_TOTALE</t>
        </is>
      </c>
      <c r="C611" s="1" t="n">
        <v>1345</v>
      </c>
      <c r="E611">
        <f>IFERROR(IF(_xlfn.XLOOKUP(#REF!, Tableau5[Code sandre], Tableau5[Code sandre],, 0) &lt;&gt; "", 1, ""), "")</f>
        <v/>
      </c>
    </row>
    <row r="612">
      <c r="A612" t="inlineStr">
        <is>
          <t>DYSPROSIUM</t>
        </is>
      </c>
      <c r="B612" t="inlineStr">
        <is>
          <t>7429-91-6</t>
        </is>
      </c>
      <c r="C612" s="1" t="n">
        <v>6068</v>
      </c>
      <c r="E612">
        <f>IFERROR(IF(_xlfn.XLOOKUP(#REF!, Tableau5[Code sandre], Tableau5[Code sandre],, 0) &lt;&gt; "", 1, ""), "")</f>
        <v/>
      </c>
    </row>
    <row r="613">
      <c r="A613" t="inlineStr">
        <is>
          <t>E_COLI</t>
        </is>
      </c>
      <c r="C613" s="1" t="n">
        <v>1449</v>
      </c>
      <c r="E613">
        <f>IFERROR(IF(_xlfn.XLOOKUP(#REF!, Tableau5[Code sandre], Tableau5[Code sandre],, 0) &lt;&gt; "", 1, ""), "")</f>
        <v/>
      </c>
    </row>
    <row r="614">
      <c r="A614" t="inlineStr">
        <is>
          <t>E_COLI_44°C</t>
        </is>
      </c>
      <c r="C614" s="1" t="n">
        <v>1449</v>
      </c>
      <c r="E614">
        <f>IFERROR(IF(_xlfn.XLOOKUP(#REF!, Tableau5[Code sandre], Tableau5[Code sandre],, 0) &lt;&gt; "", 1, ""), "")</f>
        <v/>
      </c>
    </row>
    <row r="615">
      <c r="A615" t="inlineStr">
        <is>
          <t>E_COLI_NPP</t>
        </is>
      </c>
      <c r="C615" s="1" t="n">
        <v>1449</v>
      </c>
      <c r="E615">
        <f>IFERROR(IF(_xlfn.XLOOKUP(#REF!, Tableau5[Code sandre], Tableau5[Code sandre],, 0) &lt;&gt; "", 1, ""), "")</f>
        <v/>
      </c>
    </row>
    <row r="616">
      <c r="A616" t="inlineStr">
        <is>
          <t>E_COLI_TRYPTOPHANE</t>
        </is>
      </c>
      <c r="C616" s="1" t="n">
        <v>1449</v>
      </c>
      <c r="E616">
        <f>IFERROR(IF(_xlfn.XLOOKUP(#REF!, Tableau5[Code sandre], Tableau5[Code sandre],, 0) &lt;&gt; "", 1, ""), "")</f>
        <v/>
      </c>
    </row>
    <row r="617">
      <c r="A617" t="inlineStr">
        <is>
          <t>EDTA (acide éthylène diamine tétracétique)</t>
        </is>
      </c>
      <c r="B617" t="inlineStr">
        <is>
          <t>60-00-4</t>
        </is>
      </c>
      <c r="C617" s="1" t="n">
        <v>1493</v>
      </c>
      <c r="E617">
        <f>IFERROR(IF(_xlfn.XLOOKUP(#REF!, Tableau5[Code sandre], Tableau5[Code sandre],, 0) &lt;&gt; "", 1, ""), "")</f>
        <v/>
      </c>
    </row>
    <row r="618">
      <c r="A618" t="inlineStr">
        <is>
          <t>EFFLORESCENCES_ALGALES_IN_SITU</t>
        </is>
      </c>
      <c r="C618" s="1" t="n">
        <v>5916</v>
      </c>
      <c r="E618">
        <f>IFERROR(IF(_xlfn.XLOOKUP(#REF!, Tableau5[Code sandre], Tableau5[Code sandre],, 0) &lt;&gt; "", 1, ""), "")</f>
        <v/>
      </c>
    </row>
    <row r="619">
      <c r="A619" t="inlineStr">
        <is>
          <t>ENDOSULFAN_ALPHA</t>
        </is>
      </c>
      <c r="B619" t="inlineStr">
        <is>
          <t>959-98-8</t>
        </is>
      </c>
      <c r="C619" s="1" t="n">
        <v>1178</v>
      </c>
      <c r="E619">
        <f>IFERROR(IF(_xlfn.XLOOKUP(#REF!, Tableau5[Code sandre], Tableau5[Code sandre],, 0) &lt;&gt; "", 1, ""), "")</f>
        <v/>
      </c>
    </row>
    <row r="620">
      <c r="A620" t="inlineStr">
        <is>
          <t>ENDOSULFAN_BETA</t>
        </is>
      </c>
      <c r="B620" t="inlineStr">
        <is>
          <t>33213-65-9</t>
        </is>
      </c>
      <c r="C620" s="1" t="n">
        <v>1179</v>
      </c>
      <c r="D620" t="inlineStr">
        <is>
          <t>AMNTZ</t>
        </is>
      </c>
      <c r="E620">
        <f>IFERROR(IF(_xlfn.XLOOKUP(#REF!, Tableau5[Code sandre], Tableau5[Code sandre],, 0) &lt;&gt; "", 1, ""), "")</f>
        <v/>
      </c>
    </row>
    <row r="621">
      <c r="A621" t="inlineStr">
        <is>
          <t>ENDOSULFAN_SULFATE</t>
        </is>
      </c>
      <c r="B621" t="inlineStr">
        <is>
          <t>1031-07-8</t>
        </is>
      </c>
      <c r="C621" s="1" t="n">
        <v>1742</v>
      </c>
      <c r="E621">
        <f>IFERROR(IF(_xlfn.XLOOKUP(#REF!, Tableau5[Code sandre], Tableau5[Code sandre],, 0) &lt;&gt; "", 1, ""), "")</f>
        <v/>
      </c>
    </row>
    <row r="622">
      <c r="A622" t="inlineStr">
        <is>
          <t>ENDOSULFAN_TOTAL</t>
        </is>
      </c>
      <c r="B622" t="inlineStr">
        <is>
          <t>115-29-7</t>
        </is>
      </c>
      <c r="C622" s="1" t="n">
        <v>1743</v>
      </c>
      <c r="E622">
        <f>IFERROR(IF(_xlfn.XLOOKUP(#REF!, Tableau5[Code sandre], Tableau5[Code sandre],, 0) &lt;&gt; "", 1, ""), "")</f>
        <v/>
      </c>
    </row>
    <row r="623">
      <c r="A623" t="inlineStr">
        <is>
          <t>ENDRINE</t>
        </is>
      </c>
      <c r="B623" t="inlineStr">
        <is>
          <t>72-20-8</t>
        </is>
      </c>
      <c r="C623" s="1" t="n">
        <v>1181</v>
      </c>
      <c r="E623">
        <f>IFERROR(IF(_xlfn.XLOOKUP(#REF!, Tableau5[Code sandre], Tableau5[Code sandre],, 0) &lt;&gt; "", 1, ""), "")</f>
        <v/>
      </c>
    </row>
    <row r="624">
      <c r="A624" t="inlineStr">
        <is>
          <t>ENTEROCOQUES</t>
        </is>
      </c>
      <c r="C624" s="1" t="n">
        <v>6455</v>
      </c>
      <c r="E624">
        <f>IFERROR(IF(_xlfn.XLOOKUP(#REF!, Tableau5[Code sandre], Tableau5[Code sandre],, 0) &lt;&gt; "", 1, ""), "")</f>
        <v/>
      </c>
    </row>
    <row r="625">
      <c r="A625" t="inlineStr">
        <is>
          <t>EOX</t>
        </is>
      </c>
      <c r="C625" s="1" t="n">
        <v>1760</v>
      </c>
      <c r="E625">
        <f>IFERROR(IF(_xlfn.XLOOKUP(#REF!, Tableau5[Code sandre], Tableau5[Code sandre],, 0) &lt;&gt; "", 1, ""), "")</f>
        <v/>
      </c>
    </row>
    <row r="626">
      <c r="A626" t="inlineStr">
        <is>
          <t>EP_TRANSPARENCE_SECCHI_IN_SITU</t>
        </is>
      </c>
      <c r="C626" s="1" t="n">
        <v>1332</v>
      </c>
      <c r="E626">
        <f>IFERROR(IF(_xlfn.XLOOKUP(#REF!, Tableau5[Code sandre], Tableau5[Code sandre],, 0) &lt;&gt; "", 1, ""), "")</f>
        <v/>
      </c>
    </row>
    <row r="627">
      <c r="A627" t="inlineStr">
        <is>
          <t>EPICHLORHYDRINE</t>
        </is>
      </c>
      <c r="B627" t="inlineStr">
        <is>
          <t>106-89-8</t>
        </is>
      </c>
      <c r="C627" s="1" t="n">
        <v>1494</v>
      </c>
      <c r="E627">
        <f>IFERROR(IF(_xlfn.XLOOKUP(#REF!, Tableau5[Code sandre], Tableau5[Code sandre],, 0) &lt;&gt; "", 1, ""), "")</f>
        <v/>
      </c>
    </row>
    <row r="628">
      <c r="A628" t="inlineStr">
        <is>
          <t>EPN</t>
        </is>
      </c>
      <c r="B628" t="inlineStr">
        <is>
          <t>2104-64-5</t>
        </is>
      </c>
      <c r="C628" s="1" t="n">
        <v>1873</v>
      </c>
      <c r="E628">
        <f>IFERROR(IF(_xlfn.XLOOKUP(#REF!, Tableau5[Code sandre], Tableau5[Code sandre],, 0) &lt;&gt; "", 1, ""), "")</f>
        <v/>
      </c>
    </row>
    <row r="629">
      <c r="A629" t="inlineStr">
        <is>
          <t>EPOXICONAZOLE</t>
        </is>
      </c>
      <c r="B629" t="inlineStr">
        <is>
          <t>133855-98-8</t>
        </is>
      </c>
      <c r="C629" s="1" t="n">
        <v>1744</v>
      </c>
      <c r="E629">
        <f>IFERROR(IF(_xlfn.XLOOKUP(#REF!, Tableau5[Code sandre], Tableau5[Code sandre],, 0) &lt;&gt; "", 1, ""), "")</f>
        <v/>
      </c>
    </row>
    <row r="630">
      <c r="A630" t="inlineStr">
        <is>
          <t>EPOXYCARBAMAZEPINE</t>
        </is>
      </c>
      <c r="B630" t="inlineStr">
        <is>
          <t>36507-30-9</t>
        </is>
      </c>
      <c r="C630" s="1" t="n">
        <v>6725</v>
      </c>
      <c r="E630">
        <f>IFERROR(IF(_xlfn.XLOOKUP(#REF!, Tableau5[Code sandre], Tableau5[Code sandre],, 0) &lt;&gt; "", 1, ""), "")</f>
        <v/>
      </c>
    </row>
    <row r="631">
      <c r="A631" t="inlineStr">
        <is>
          <t>EQUILIBRE_CALCOCARBONIQUE</t>
        </is>
      </c>
      <c r="C631" s="1" t="n">
        <v>5907</v>
      </c>
      <c r="E631">
        <f>IFERROR(IF(_xlfn.XLOOKUP(#REF!, Tableau5[Code sandre], Tableau5[Code sandre],, 0) &lt;&gt; "", 1, ""), "")</f>
        <v/>
      </c>
    </row>
    <row r="632">
      <c r="A632" t="inlineStr">
        <is>
          <t>ERBIUM</t>
        </is>
      </c>
      <c r="B632" t="inlineStr">
        <is>
          <t>7440-52-0</t>
        </is>
      </c>
      <c r="C632" s="1" t="n">
        <v>6069</v>
      </c>
      <c r="D632" t="inlineStr">
        <is>
          <t>12DCB</t>
        </is>
      </c>
      <c r="E632">
        <f>IFERROR(IF(_xlfn.XLOOKUP(#REF!, Tableau5[Code sandre], Tableau5[Code sandre],, 0) &lt;&gt; "", 1, ""), "")</f>
        <v/>
      </c>
    </row>
    <row r="633">
      <c r="A633" t="inlineStr">
        <is>
          <t>ESCHERICHIA_COLI_37°C</t>
        </is>
      </c>
      <c r="C633" s="1" t="n">
        <v>1449</v>
      </c>
      <c r="E633">
        <f>IFERROR(IF(_xlfn.XLOOKUP(#REF!, Tableau5[Code sandre], Tableau5[Code sandre],, 0) &lt;&gt; "", 1, ""), "")</f>
        <v/>
      </c>
    </row>
    <row r="634">
      <c r="A634" t="inlineStr">
        <is>
          <t>ESFENVALERATE</t>
        </is>
      </c>
      <c r="B634" t="inlineStr">
        <is>
          <t>66230-04-4</t>
        </is>
      </c>
      <c r="C634" s="1" t="n">
        <v>1809</v>
      </c>
      <c r="E634">
        <f>IFERROR(IF(_xlfn.XLOOKUP(#REF!, Tableau5[Code sandre], Tableau5[Code sandre],, 0) &lt;&gt; "", 1, ""), "")</f>
        <v/>
      </c>
    </row>
    <row r="635">
      <c r="A635" t="inlineStr">
        <is>
          <t>ESTRIOL</t>
        </is>
      </c>
      <c r="B635" t="inlineStr">
        <is>
          <t>50-27-1</t>
        </is>
      </c>
      <c r="C635" s="1" t="n">
        <v>6446</v>
      </c>
      <c r="E635">
        <f>IFERROR(IF(_xlfn.XLOOKUP(#REF!, Tableau5[Code sandre], Tableau5[Code sandre],, 0) &lt;&gt; "", 1, ""), "")</f>
        <v/>
      </c>
    </row>
    <row r="636">
      <c r="A636" t="inlineStr">
        <is>
          <t>ESTRONE</t>
        </is>
      </c>
      <c r="B636" t="inlineStr">
        <is>
          <t>53-16-7</t>
        </is>
      </c>
      <c r="C636" s="1" t="n">
        <v>5396</v>
      </c>
      <c r="E636">
        <f>IFERROR(IF(_xlfn.XLOOKUP(#REF!, Tableau5[Code sandre], Tableau5[Code sandre],, 0) &lt;&gt; "", 1, ""), "")</f>
        <v/>
      </c>
    </row>
    <row r="637">
      <c r="A637" t="inlineStr">
        <is>
          <t>ETAIN</t>
        </is>
      </c>
      <c r="C637" s="1" t="n">
        <v>1380</v>
      </c>
      <c r="E637">
        <f>IFERROR(IF(_xlfn.XLOOKUP(#REF!, Tableau5[Code sandre], Tableau5[Code sandre],, 0) &lt;&gt; "", 1, ""), "")</f>
        <v/>
      </c>
    </row>
    <row r="638">
      <c r="A638" t="inlineStr">
        <is>
          <t>ETFOSA</t>
        </is>
      </c>
      <c r="B638" t="inlineStr">
        <is>
          <t xml:space="preserve">4151-50-2 </t>
        </is>
      </c>
      <c r="C638" s="1" t="n">
        <v>6662</v>
      </c>
      <c r="E638">
        <f>IFERROR(IF(_xlfn.XLOOKUP(#REF!, Tableau5[Code sandre], Tableau5[Code sandre],, 0) &lt;&gt; "", 1, ""), "")</f>
        <v/>
      </c>
    </row>
    <row r="639">
      <c r="A639" t="inlineStr">
        <is>
          <t>ETFOSAA</t>
        </is>
      </c>
      <c r="B639" t="inlineStr">
        <is>
          <t xml:space="preserve">2991-50-6 </t>
        </is>
      </c>
      <c r="C639" s="1" t="n">
        <v>7988</v>
      </c>
      <c r="E639">
        <f>IFERROR(IF(_xlfn.XLOOKUP(#REF!, Tableau5[Code sandre], Tableau5[Code sandre],, 0) &lt;&gt; "", 1, ""), "")</f>
        <v/>
      </c>
    </row>
    <row r="640">
      <c r="A640" t="inlineStr">
        <is>
          <t>ETHANOL</t>
        </is>
      </c>
      <c r="B640" t="inlineStr">
        <is>
          <t>64-17-5</t>
        </is>
      </c>
      <c r="C640" s="1" t="n">
        <v>1745</v>
      </c>
      <c r="E640">
        <f>IFERROR(IF(_xlfn.XLOOKUP(#REF!, Tableau5[Code sandre], Tableau5[Code sandre],, 0) &lt;&gt; "", 1, ""), "")</f>
        <v/>
      </c>
    </row>
    <row r="641">
      <c r="A641" t="inlineStr">
        <is>
          <t>ETHEPHON</t>
        </is>
      </c>
      <c r="B641" t="inlineStr">
        <is>
          <t>16672-87-0</t>
        </is>
      </c>
      <c r="C641" s="1" t="n">
        <v>2093</v>
      </c>
      <c r="E641">
        <f>IFERROR(IF(_xlfn.XLOOKUP(#REF!, Tableau5[Code sandre], Tableau5[Code sandre],, 0) &lt;&gt; "", 1, ""), "")</f>
        <v/>
      </c>
    </row>
    <row r="642">
      <c r="A642" t="inlineStr">
        <is>
          <t>ETHER_DIETHYLIQUE</t>
        </is>
      </c>
      <c r="B642" t="inlineStr">
        <is>
          <t>60-29-7</t>
        </is>
      </c>
      <c r="C642" s="1" t="n">
        <v>5859</v>
      </c>
      <c r="E642">
        <f>IFERROR(IF(_xlfn.XLOOKUP(#REF!, Tableau5[Code sandre], Tableau5[Code sandre],, 0) &lt;&gt; "", 1, ""), "")</f>
        <v/>
      </c>
    </row>
    <row r="643">
      <c r="A643" t="inlineStr">
        <is>
          <t>ETHER_DIISOPROPYLIQUE</t>
        </is>
      </c>
      <c r="B643" t="inlineStr">
        <is>
          <t>108-20-3</t>
        </is>
      </c>
      <c r="C643" s="1" t="n">
        <v>5264</v>
      </c>
      <c r="E643">
        <f>IFERROR(IF(_xlfn.XLOOKUP(#REF!, Tableau5[Code sandre], Tableau5[Code sandre],, 0) &lt;&gt; "", 1, ""), "")</f>
        <v/>
      </c>
    </row>
    <row r="644">
      <c r="A644" t="inlineStr">
        <is>
          <t>ETHER_ISOPROPYLIQUE</t>
        </is>
      </c>
      <c r="B644" t="inlineStr">
        <is>
          <t>108-20-3</t>
        </is>
      </c>
      <c r="C644" s="1" t="n">
        <v>5264</v>
      </c>
      <c r="E644">
        <f>IFERROR(IF(_xlfn.XLOOKUP(#REF!, Tableau5[Code sandre], Tableau5[Code sandre],, 0) &lt;&gt; "", 1, ""), "")</f>
        <v/>
      </c>
    </row>
    <row r="645">
      <c r="A645" t="inlineStr">
        <is>
          <t>ETHER_METHYLTERTIOBUTYLIQUE</t>
        </is>
      </c>
      <c r="B645" t="inlineStr">
        <is>
          <t>1634-04-4</t>
        </is>
      </c>
      <c r="C645" s="1" t="n">
        <v>1512</v>
      </c>
      <c r="E645">
        <f>IFERROR(IF(_xlfn.XLOOKUP(#REF!, Tableau5[Code sandre], Tableau5[Code sandre],, 0) &lt;&gt; "", 1, ""), "")</f>
        <v/>
      </c>
    </row>
    <row r="646">
      <c r="A646" t="inlineStr">
        <is>
          <t>ETHIDIMURON</t>
        </is>
      </c>
      <c r="B646" t="inlineStr">
        <is>
          <t>30043-49-3</t>
        </is>
      </c>
      <c r="C646" s="1" t="n">
        <v>1763</v>
      </c>
      <c r="E646">
        <f>IFERROR(IF(_xlfn.XLOOKUP(#REF!, Tableau5[Code sandre], Tableau5[Code sandre],, 0) &lt;&gt; "", 1, ""), "")</f>
        <v/>
      </c>
    </row>
    <row r="647">
      <c r="A647" t="inlineStr">
        <is>
          <t>ETHION</t>
        </is>
      </c>
      <c r="B647" t="inlineStr">
        <is>
          <t>563-12-2</t>
        </is>
      </c>
      <c r="C647" s="1" t="n">
        <v>1183</v>
      </c>
      <c r="E647">
        <f>IFERROR(IF(_xlfn.XLOOKUP(#REF!, Tableau5[Code sandre], Tableau5[Code sandre],, 0) &lt;&gt; "", 1, ""), "")</f>
        <v/>
      </c>
    </row>
    <row r="648">
      <c r="A648" t="inlineStr">
        <is>
          <t>ETHOFUMESATE</t>
        </is>
      </c>
      <c r="B648" t="inlineStr">
        <is>
          <t>26225-79-6</t>
        </is>
      </c>
      <c r="C648" s="1" t="n">
        <v>1184</v>
      </c>
      <c r="E648">
        <f>IFERROR(IF(_xlfn.XLOOKUP(#REF!, Tableau5[Code sandre], Tableau5[Code sandre],, 0) &lt;&gt; "", 1, ""), "")</f>
        <v/>
      </c>
    </row>
    <row r="649">
      <c r="A649" t="inlineStr">
        <is>
          <t>ETHOPROPHOS</t>
        </is>
      </c>
      <c r="B649" t="inlineStr">
        <is>
          <t>13194-48-4</t>
        </is>
      </c>
      <c r="C649" s="1" t="n">
        <v>1495</v>
      </c>
      <c r="E649">
        <f>IFERROR(IF(_xlfn.XLOOKUP(#REF!, Tableau5[Code sandre], Tableau5[Code sandre],, 0) &lt;&gt; "", 1, ""), "")</f>
        <v/>
      </c>
    </row>
    <row r="650">
      <c r="A650" t="inlineStr">
        <is>
          <t>ETHYL_PARABENE</t>
        </is>
      </c>
      <c r="B650" t="inlineStr">
        <is>
          <t>120-47-8</t>
        </is>
      </c>
      <c r="C650" s="1" t="n">
        <v>6644</v>
      </c>
      <c r="E650">
        <f>IFERROR(IF(_xlfn.XLOOKUP(#REF!, Tableau5[Code sandre], Tableau5[Code sandre],, 0) &lt;&gt; "", 1, ""), "")</f>
        <v/>
      </c>
    </row>
    <row r="651">
      <c r="A651" t="inlineStr">
        <is>
          <t>ETHYLACETATE</t>
        </is>
      </c>
      <c r="B651" t="inlineStr">
        <is>
          <t>141-78-6</t>
        </is>
      </c>
      <c r="C651" s="1" t="n">
        <v>1496</v>
      </c>
      <c r="E651">
        <f>IFERROR(IF(_xlfn.XLOOKUP(#REF!, Tableau5[Code sandre], Tableau5[Code sandre],, 0) &lt;&gt; "", 1, ""), "")</f>
        <v/>
      </c>
    </row>
    <row r="652">
      <c r="A652" t="inlineStr">
        <is>
          <t>ETHYLACRYLATE</t>
        </is>
      </c>
      <c r="B652" t="inlineStr">
        <is>
          <t>140-88-5</t>
        </is>
      </c>
      <c r="C652" s="1" t="n">
        <v>2708</v>
      </c>
      <c r="E652">
        <f>IFERROR(IF(_xlfn.XLOOKUP(#REF!, Tableau5[Code sandre], Tableau5[Code sandre],, 0) &lt;&gt; "", 1, ""), "")</f>
        <v/>
      </c>
    </row>
    <row r="653">
      <c r="A653" t="inlineStr">
        <is>
          <t>ETHYLAMINE</t>
        </is>
      </c>
      <c r="B653" t="inlineStr">
        <is>
          <t>75-04-7</t>
        </is>
      </c>
      <c r="C653" s="1" t="n">
        <v>6993</v>
      </c>
      <c r="E653">
        <f>IFERROR(IF(_xlfn.XLOOKUP(#REF!, Tableau5[Code sandre], Tableau5[Code sandre],, 0) &lt;&gt; "", 1, ""), "")</f>
        <v/>
      </c>
    </row>
    <row r="654">
      <c r="A654" t="inlineStr">
        <is>
          <t>ETHYLBENZENE</t>
        </is>
      </c>
      <c r="B654" t="inlineStr">
        <is>
          <t>100-41-4</t>
        </is>
      </c>
      <c r="C654" s="1" t="n">
        <v>1497</v>
      </c>
      <c r="E654">
        <f>IFERROR(IF(_xlfn.XLOOKUP(#REF!, Tableau5[Code sandre], Tableau5[Code sandre],, 0) &lt;&gt; "", 1, ""), "")</f>
        <v/>
      </c>
    </row>
    <row r="655">
      <c r="A655" t="inlineStr">
        <is>
          <t>ETHYLENE_GLYCOL</t>
        </is>
      </c>
      <c r="B655" t="inlineStr">
        <is>
          <t>107-21-1</t>
        </is>
      </c>
      <c r="C655" s="1" t="n">
        <v>2718</v>
      </c>
      <c r="E655">
        <f>IFERROR(IF(_xlfn.XLOOKUP(#REF!, Tableau5[Code sandre], Tableau5[Code sandre],, 0) &lt;&gt; "", 1, ""), "")</f>
        <v/>
      </c>
    </row>
    <row r="656">
      <c r="A656" t="inlineStr">
        <is>
          <t>ETOFENPROX</t>
        </is>
      </c>
      <c r="B656" t="inlineStr">
        <is>
          <t>80844-07-1</t>
        </is>
      </c>
      <c r="C656" s="1" t="n">
        <v>5624</v>
      </c>
      <c r="E656">
        <f>IFERROR(IF(_xlfn.XLOOKUP(#REF!, Tableau5[Code sandre], Tableau5[Code sandre],, 0) &lt;&gt; "", 1, ""), "")</f>
        <v/>
      </c>
    </row>
    <row r="657">
      <c r="A657" t="inlineStr">
        <is>
          <t>EUROPIUM</t>
        </is>
      </c>
      <c r="B657" t="inlineStr">
        <is>
          <t>7440-53-1</t>
        </is>
      </c>
      <c r="C657" s="1" t="n">
        <v>5874</v>
      </c>
      <c r="D657" t="inlineStr">
        <is>
          <t>14DCB</t>
        </is>
      </c>
      <c r="E657">
        <f>IFERROR(IF(_xlfn.XLOOKUP(#REF!, Tableau5[Code sandre], Tableau5[Code sandre],, 0) &lt;&gt; "", 1, ""), "")</f>
        <v/>
      </c>
    </row>
    <row r="658">
      <c r="A658" t="inlineStr">
        <is>
          <t>FENARIMOL</t>
        </is>
      </c>
      <c r="B658" t="inlineStr">
        <is>
          <t>60168-88-9</t>
        </is>
      </c>
      <c r="C658" s="1" t="n">
        <v>1185</v>
      </c>
      <c r="E658">
        <f>IFERROR(IF(_xlfn.XLOOKUP(#REF!, Tableau5[Code sandre], Tableau5[Code sandre],, 0) &lt;&gt; "", 1, ""), "")</f>
        <v/>
      </c>
    </row>
    <row r="659">
      <c r="A659" t="inlineStr">
        <is>
          <t>FENAZAQUIN</t>
        </is>
      </c>
      <c r="B659" t="inlineStr">
        <is>
          <t>120928-09-8</t>
        </is>
      </c>
      <c r="C659" s="1" t="n">
        <v>2742</v>
      </c>
      <c r="E659">
        <f>IFERROR(IF(_xlfn.XLOOKUP(#REF!, Tableau5[Code sandre], Tableau5[Code sandre],, 0) &lt;&gt; "", 1, ""), "")</f>
        <v/>
      </c>
    </row>
    <row r="660">
      <c r="A660" t="inlineStr">
        <is>
          <t>FENBUCONAZOLE</t>
        </is>
      </c>
      <c r="B660" t="inlineStr">
        <is>
          <t>114369-43-6</t>
        </is>
      </c>
      <c r="C660" s="1" t="n">
        <v>1906</v>
      </c>
      <c r="E660">
        <f>IFERROR(IF(_xlfn.XLOOKUP(#REF!, Tableau5[Code sandre], Tableau5[Code sandre],, 0) &lt;&gt; "", 1, ""), "")</f>
        <v/>
      </c>
    </row>
    <row r="661">
      <c r="A661" t="inlineStr">
        <is>
          <t>FENCHLORPHOS</t>
        </is>
      </c>
      <c r="B661" t="inlineStr">
        <is>
          <t>299-84-3</t>
        </is>
      </c>
      <c r="C661" s="1" t="n">
        <v>1186</v>
      </c>
      <c r="E661">
        <f>IFERROR(IF(_xlfn.XLOOKUP(#REF!, Tableau5[Code sandre], Tableau5[Code sandre],, 0) &lt;&gt; "", 1, ""), "")</f>
        <v/>
      </c>
    </row>
    <row r="662">
      <c r="A662" t="inlineStr">
        <is>
          <t>FENHEXAMIDE</t>
        </is>
      </c>
      <c r="B662" t="inlineStr">
        <is>
          <t>126833-17-8</t>
        </is>
      </c>
      <c r="C662" s="1" t="n">
        <v>2743</v>
      </c>
      <c r="E662">
        <f>IFERROR(IF(_xlfn.XLOOKUP(#REF!, Tableau5[Code sandre], Tableau5[Code sandre],, 0) &lt;&gt; "", 1, ""), "")</f>
        <v/>
      </c>
    </row>
    <row r="663">
      <c r="A663" t="inlineStr">
        <is>
          <t>FENITROTHION</t>
        </is>
      </c>
      <c r="B663" t="inlineStr">
        <is>
          <t>122-14-5</t>
        </is>
      </c>
      <c r="C663" s="1" t="n">
        <v>1187</v>
      </c>
      <c r="E663">
        <f>IFERROR(IF(_xlfn.XLOOKUP(#REF!, Tableau5[Code sandre], Tableau5[Code sandre],, 0) &lt;&gt; "", 1, ""), "")</f>
        <v/>
      </c>
    </row>
    <row r="664">
      <c r="A664" t="inlineStr">
        <is>
          <t>FENOBUCARBE</t>
        </is>
      </c>
      <c r="B664" t="inlineStr">
        <is>
          <t>3766-81-2</t>
        </is>
      </c>
      <c r="C664" s="1" t="n">
        <v>5763</v>
      </c>
      <c r="E664">
        <f>IFERROR(IF(_xlfn.XLOOKUP(#REF!, Tableau5[Code sandre], Tableau5[Code sandre],, 0) &lt;&gt; "", 1, ""), "")</f>
        <v/>
      </c>
    </row>
    <row r="665">
      <c r="A665" t="inlineStr">
        <is>
          <t>FENOFIBRATE</t>
        </is>
      </c>
      <c r="B665" t="inlineStr">
        <is>
          <t>49562-28-9</t>
        </is>
      </c>
      <c r="C665" s="1" t="n">
        <v>5368</v>
      </c>
      <c r="E665">
        <f>IFERROR(IF(_xlfn.XLOOKUP(#REF!, Tableau5[Code sandre], Tableau5[Code sandre],, 0) &lt;&gt; "", 1, ""), "")</f>
        <v/>
      </c>
    </row>
    <row r="666">
      <c r="A666" t="inlineStr">
        <is>
          <t>FENOXAPROP-P-ETHYL</t>
        </is>
      </c>
      <c r="B666" t="inlineStr">
        <is>
          <t>71283-80-2</t>
        </is>
      </c>
      <c r="C666" s="1" t="n">
        <v>5628</v>
      </c>
      <c r="E666">
        <f>IFERROR(IF(_xlfn.XLOOKUP(#REF!, Tableau5[Code sandre], Tableau5[Code sandre],, 0) &lt;&gt; "", 1, ""), "")</f>
        <v/>
      </c>
    </row>
    <row r="667">
      <c r="A667" t="inlineStr">
        <is>
          <t>FENOXYCARBE</t>
        </is>
      </c>
      <c r="B667" t="inlineStr">
        <is>
          <t>79127-80-3</t>
        </is>
      </c>
      <c r="C667" s="1" t="n">
        <v>1967</v>
      </c>
      <c r="E667">
        <f>IFERROR(IF(_xlfn.XLOOKUP(#REF!, Tableau5[Code sandre], Tableau5[Code sandre],, 0) &lt;&gt; "", 1, ""), "")</f>
        <v/>
      </c>
    </row>
    <row r="668">
      <c r="A668" t="inlineStr">
        <is>
          <t>FENPROPIDINE</t>
        </is>
      </c>
      <c r="B668" t="inlineStr">
        <is>
          <t>67306-00-7</t>
        </is>
      </c>
      <c r="C668" s="1" t="n">
        <v>1700</v>
      </c>
      <c r="E668">
        <f>IFERROR(IF(_xlfn.XLOOKUP(#REF!, Tableau5[Code sandre], Tableau5[Code sandre],, 0) &lt;&gt; "", 1, ""), "")</f>
        <v/>
      </c>
    </row>
    <row r="669">
      <c r="A669" t="inlineStr">
        <is>
          <t>FENPROPIDINE_ST</t>
        </is>
      </c>
      <c r="C669" s="1" t="n">
        <v>1700</v>
      </c>
      <c r="E669">
        <f>IFERROR(IF(_xlfn.XLOOKUP(#REF!, Tableau5[Code sandre], Tableau5[Code sandre],, 0) &lt;&gt; "", 1, ""), "")</f>
        <v/>
      </c>
    </row>
    <row r="670">
      <c r="A670" t="inlineStr">
        <is>
          <t>FENPROPIMORPHE</t>
        </is>
      </c>
      <c r="B670" t="inlineStr">
        <is>
          <t>67564-91-4</t>
        </is>
      </c>
      <c r="C670" s="1" t="n">
        <v>1189</v>
      </c>
      <c r="E670">
        <f>IFERROR(IF(_xlfn.XLOOKUP(#REF!, Tableau5[Code sandre], Tableau5[Code sandre],, 0) &lt;&gt; "", 1, ""), "")</f>
        <v/>
      </c>
    </row>
    <row r="671">
      <c r="A671" t="inlineStr">
        <is>
          <t>FENURON</t>
        </is>
      </c>
      <c r="B671" t="inlineStr">
        <is>
          <t>101-42-8</t>
        </is>
      </c>
      <c r="C671" s="1" t="n">
        <v>1500</v>
      </c>
      <c r="E671">
        <f>IFERROR(IF(_xlfn.XLOOKUP(#REF!, Tableau5[Code sandre], Tableau5[Code sandre],, 0) &lt;&gt; "", 1, ""), "")</f>
        <v/>
      </c>
    </row>
    <row r="672">
      <c r="A672" t="inlineStr">
        <is>
          <t>FENVALERATE</t>
        </is>
      </c>
      <c r="B672" t="inlineStr">
        <is>
          <t>51630-58-1</t>
        </is>
      </c>
      <c r="C672" s="1" t="n">
        <v>1701</v>
      </c>
      <c r="E672">
        <f>IFERROR(IF(_xlfn.XLOOKUP(#REF!, Tableau5[Code sandre], Tableau5[Code sandre],, 0) &lt;&gt; "", 1, ""), "")</f>
        <v/>
      </c>
    </row>
    <row r="673">
      <c r="A673" t="inlineStr">
        <is>
          <t>FER</t>
        </is>
      </c>
      <c r="C673" s="1" t="n">
        <v>1393</v>
      </c>
      <c r="E673">
        <f>IFERROR(IF(_xlfn.XLOOKUP(#REF!, Tableau5[Code sandre], Tableau5[Code sandre],, 0) &lt;&gt; "", 1, ""), "")</f>
        <v/>
      </c>
    </row>
    <row r="674">
      <c r="A674" t="inlineStr">
        <is>
          <t>FER_FERREUX</t>
        </is>
      </c>
      <c r="B674" t="inlineStr">
        <is>
          <t>15438-31-0</t>
        </is>
      </c>
      <c r="C674" s="1" t="n">
        <v>1366</v>
      </c>
      <c r="D674" t="inlineStr">
        <is>
          <t>BTZ</t>
        </is>
      </c>
      <c r="E674">
        <f>IFERROR(IF(_xlfn.XLOOKUP(#REF!, Tableau5[Code sandre], Tableau5[Code sandre],, 0) &lt;&gt; "", 1, ""), "")</f>
        <v/>
      </c>
    </row>
    <row r="675">
      <c r="A675" t="inlineStr">
        <is>
          <t>FER_FERRIQUE</t>
        </is>
      </c>
      <c r="B675" t="inlineStr">
        <is>
          <t>20074-52-6</t>
        </is>
      </c>
      <c r="C675" s="1" t="n">
        <v>1365</v>
      </c>
      <c r="E675">
        <f>IFERROR(IF(_xlfn.XLOOKUP(#REF!, Tableau5[Code sandre], Tableau5[Code sandre],, 0) &lt;&gt; "", 1, ""), "")</f>
        <v/>
      </c>
    </row>
    <row r="676">
      <c r="A676" t="inlineStr">
        <is>
          <t>FHXS_ACIDE_SULFONIQUE_DE_PERFLUOROHEXANE</t>
        </is>
      </c>
      <c r="B676" t="inlineStr">
        <is>
          <t>355-46-4</t>
        </is>
      </c>
      <c r="C676" s="1" t="n">
        <v>7315</v>
      </c>
      <c r="E676">
        <f>IFERROR(IF(_xlfn.XLOOKUP(#REF!, Tableau5[Code sandre], Tableau5[Code sandre],, 0) &lt;&gt; "", 1, ""), "")</f>
        <v/>
      </c>
    </row>
    <row r="677">
      <c r="A677" t="inlineStr">
        <is>
          <t>FIPRONIL</t>
        </is>
      </c>
      <c r="B677" t="inlineStr">
        <is>
          <t>120068-37-3</t>
        </is>
      </c>
      <c r="C677" s="1" t="n">
        <v>2009</v>
      </c>
      <c r="E677">
        <f>IFERROR(IF(_xlfn.XLOOKUP(#REF!, Tableau5[Code sandre], Tableau5[Code sandre],, 0) &lt;&gt; "", 1, ""), "")</f>
        <v/>
      </c>
    </row>
    <row r="678">
      <c r="A678" t="inlineStr">
        <is>
          <t>FIPRONIL SULFIDE</t>
        </is>
      </c>
      <c r="B678" t="inlineStr">
        <is>
          <t>120067-83-6</t>
        </is>
      </c>
      <c r="C678" s="1" t="n">
        <v>6261</v>
      </c>
      <c r="E678">
        <f>IFERROR(IF(_xlfn.XLOOKUP(#REF!, Tableau5[Code sandre], Tableau5[Code sandre],, 0) &lt;&gt; "", 1, ""), "")</f>
        <v/>
      </c>
    </row>
    <row r="679">
      <c r="A679" t="inlineStr">
        <is>
          <t>FLAMPROP_ISOPROPYL</t>
        </is>
      </c>
      <c r="B679" t="inlineStr">
        <is>
          <t>52756-22-6</t>
        </is>
      </c>
      <c r="C679" s="1" t="n">
        <v>1840</v>
      </c>
      <c r="E679">
        <f>IFERROR(IF(_xlfn.XLOOKUP(#REF!, Tableau5[Code sandre], Tableau5[Code sandre],, 0) &lt;&gt; "", 1, ""), "")</f>
        <v/>
      </c>
    </row>
    <row r="680">
      <c r="A680" t="inlineStr">
        <is>
          <t>FLAZASULFURON</t>
        </is>
      </c>
      <c r="B680" t="inlineStr">
        <is>
          <t>104040-78-0</t>
        </is>
      </c>
      <c r="C680" s="1" t="n">
        <v>1939</v>
      </c>
      <c r="E680">
        <f>IFERROR(IF(_xlfn.XLOOKUP(#REF!, Tableau5[Code sandre], Tableau5[Code sandre],, 0) &lt;&gt; "", 1, ""), "")</f>
        <v/>
      </c>
    </row>
    <row r="681">
      <c r="A681" t="inlineStr">
        <is>
          <t>FLONICAMIDE</t>
        </is>
      </c>
      <c r="B681" t="inlineStr">
        <is>
          <t>158062-67-0</t>
        </is>
      </c>
      <c r="C681" s="1" t="n">
        <v>6393</v>
      </c>
      <c r="E681">
        <f>IFERROR(IF(_xlfn.XLOOKUP(#REF!, Tableau5[Code sandre], Tableau5[Code sandre],, 0) &lt;&gt; "", 1, ""), "")</f>
        <v/>
      </c>
    </row>
    <row r="682">
      <c r="A682" t="inlineStr">
        <is>
          <t>FLORASULAM</t>
        </is>
      </c>
      <c r="B682" t="inlineStr">
        <is>
          <t>145701-23-1</t>
        </is>
      </c>
      <c r="C682" s="1" t="n">
        <v>2810</v>
      </c>
      <c r="E682">
        <f>IFERROR(IF(_xlfn.XLOOKUP(#REF!, Tableau5[Code sandre], Tableau5[Code sandre],, 0) &lt;&gt; "", 1, ""), "")</f>
        <v/>
      </c>
    </row>
    <row r="683">
      <c r="A683" t="inlineStr">
        <is>
          <t>FLORFENICOL</t>
        </is>
      </c>
      <c r="B683" t="inlineStr">
        <is>
          <t>73231-34-2</t>
        </is>
      </c>
      <c r="C683" s="1" t="n">
        <v>6764</v>
      </c>
      <c r="E683">
        <f>IFERROR(IF(_xlfn.XLOOKUP(#REF!, Tableau5[Code sandre], Tableau5[Code sandre],, 0) &lt;&gt; "", 1, ""), "")</f>
        <v/>
      </c>
    </row>
    <row r="684">
      <c r="A684" t="inlineStr">
        <is>
          <t>FLUAZIFOP-P-BUTYL</t>
        </is>
      </c>
      <c r="B684" t="inlineStr">
        <is>
          <t>79241-46-6</t>
        </is>
      </c>
      <c r="C684" s="1" t="n">
        <v>1404</v>
      </c>
      <c r="E684">
        <f>IFERROR(IF(_xlfn.XLOOKUP(#REF!, Tableau5[Code sandre], Tableau5[Code sandre],, 0) &lt;&gt; "", 1, ""), "")</f>
        <v/>
      </c>
    </row>
    <row r="685">
      <c r="A685" t="inlineStr">
        <is>
          <t>FLUAZINAM</t>
        </is>
      </c>
      <c r="B685" t="inlineStr">
        <is>
          <t>79622-59-6</t>
        </is>
      </c>
      <c r="C685" s="1" t="n">
        <v>2984</v>
      </c>
      <c r="E685">
        <f>IFERROR(IF(_xlfn.XLOOKUP(#REF!, Tableau5[Code sandre], Tableau5[Code sandre],, 0) &lt;&gt; "", 1, ""), "")</f>
        <v/>
      </c>
    </row>
    <row r="686">
      <c r="A686" t="inlineStr">
        <is>
          <t>FLUDIOXONIL</t>
        </is>
      </c>
      <c r="B686" t="inlineStr">
        <is>
          <t>13141-86-1</t>
        </is>
      </c>
      <c r="C686" s="1" t="n">
        <v>2022</v>
      </c>
      <c r="E686">
        <f>IFERROR(IF(_xlfn.XLOOKUP(#REF!, Tableau5[Code sandre], Tableau5[Code sandre],, 0) &lt;&gt; "", 1, ""), "")</f>
        <v/>
      </c>
    </row>
    <row r="687">
      <c r="A687" t="inlineStr">
        <is>
          <t>FLUFENACET</t>
        </is>
      </c>
      <c r="B687" t="inlineStr">
        <is>
          <t>142459-58-3</t>
        </is>
      </c>
      <c r="C687" s="1" t="n">
        <v>1940</v>
      </c>
      <c r="E687">
        <f>IFERROR(IF(_xlfn.XLOOKUP(#REF!, Tableau5[Code sandre], Tableau5[Code sandre],, 0) &lt;&gt; "", 1, ""), "")</f>
        <v/>
      </c>
    </row>
    <row r="688">
      <c r="A688" t="inlineStr">
        <is>
          <t>FLUFENACET_ESA</t>
        </is>
      </c>
      <c r="B688" t="inlineStr">
        <is>
          <t>201668-32-8</t>
        </is>
      </c>
      <c r="C688" s="1" t="n">
        <v>6864</v>
      </c>
      <c r="E688">
        <f>IFERROR(IF(_xlfn.XLOOKUP(#REF!, Tableau5[Code sandre], Tableau5[Code sandre],, 0) &lt;&gt; "", 1, ""), "")</f>
        <v/>
      </c>
    </row>
    <row r="689">
      <c r="A689" t="inlineStr">
        <is>
          <t>FLUFENACET_OA</t>
        </is>
      </c>
      <c r="B689" t="inlineStr">
        <is>
          <t>201668-31-7</t>
        </is>
      </c>
      <c r="C689" s="1" t="n">
        <v>6863</v>
      </c>
      <c r="E689">
        <f>IFERROR(IF(_xlfn.XLOOKUP(#REF!, Tableau5[Code sandre], Tableau5[Code sandre],, 0) &lt;&gt; "", 1, ""), "")</f>
        <v/>
      </c>
    </row>
    <row r="690">
      <c r="A690" t="inlineStr">
        <is>
          <t>FLUFENOXURON</t>
        </is>
      </c>
      <c r="B690" t="inlineStr">
        <is>
          <t>101463-69-8</t>
        </is>
      </c>
      <c r="C690" s="1" t="n">
        <v>1676</v>
      </c>
      <c r="E690">
        <f>IFERROR(IF(_xlfn.XLOOKUP(#REF!, Tableau5[Code sandre], Tableau5[Code sandre],, 0) &lt;&gt; "", 1, ""), "")</f>
        <v/>
      </c>
    </row>
    <row r="691">
      <c r="A691" t="inlineStr">
        <is>
          <t>FLUMEQUINE</t>
        </is>
      </c>
      <c r="B691" t="inlineStr">
        <is>
          <t>42835-25-6</t>
        </is>
      </c>
      <c r="C691" s="1" t="n">
        <v>5635</v>
      </c>
      <c r="E691">
        <f>IFERROR(IF(_xlfn.XLOOKUP(#REF!, Tableau5[Code sandre], Tableau5[Code sandre],, 0) &lt;&gt; "", 1, ""), "")</f>
        <v/>
      </c>
    </row>
    <row r="692">
      <c r="A692" t="inlineStr">
        <is>
          <t>FLUMETRALINE</t>
        </is>
      </c>
      <c r="B692" t="inlineStr">
        <is>
          <t>62924-70-3</t>
        </is>
      </c>
      <c r="C692" s="1" t="n">
        <v>5769</v>
      </c>
      <c r="E692">
        <f>IFERROR(IF(_xlfn.XLOOKUP(#REF!, Tableau5[Code sandre], Tableau5[Code sandre],, 0) &lt;&gt; "", 1, ""), "")</f>
        <v/>
      </c>
    </row>
    <row r="693">
      <c r="A693" t="inlineStr">
        <is>
          <t>FLUMIOXAZINE</t>
        </is>
      </c>
      <c r="B693" t="inlineStr">
        <is>
          <t>103361-09-7</t>
        </is>
      </c>
      <c r="C693" s="1" t="n">
        <v>2023</v>
      </c>
      <c r="E693">
        <f>IFERROR(IF(_xlfn.XLOOKUP(#REF!, Tableau5[Code sandre], Tableau5[Code sandre],, 0) &lt;&gt; "", 1, ""), "")</f>
        <v/>
      </c>
    </row>
    <row r="694">
      <c r="A694" t="inlineStr">
        <is>
          <t>FLUOMETURON</t>
        </is>
      </c>
      <c r="B694" t="inlineStr">
        <is>
          <t>2164-17-2</t>
        </is>
      </c>
      <c r="C694" s="1" t="n">
        <v>1501</v>
      </c>
      <c r="E694">
        <f>IFERROR(IF(_xlfn.XLOOKUP(#REF!, Tableau5[Code sandre], Tableau5[Code sandre],, 0) &lt;&gt; "", 1, ""), "")</f>
        <v/>
      </c>
    </row>
    <row r="695">
      <c r="A695" t="inlineStr">
        <is>
          <t>FLUOPICOLIDE</t>
        </is>
      </c>
      <c r="B695" t="inlineStr">
        <is>
          <t>239110-15-7</t>
        </is>
      </c>
      <c r="C695" s="1" t="n">
        <v>7499</v>
      </c>
      <c r="E695">
        <f>IFERROR(IF(_xlfn.XLOOKUP(#REF!, Tableau5[Code sandre], Tableau5[Code sandre],, 0) &lt;&gt; "", 1, ""), "")</f>
        <v/>
      </c>
    </row>
    <row r="696">
      <c r="A696" t="inlineStr">
        <is>
          <t>FLUOPYRAM</t>
        </is>
      </c>
      <c r="B696" t="inlineStr">
        <is>
          <t>658066-35-4</t>
        </is>
      </c>
      <c r="C696" s="1" t="n">
        <v>7649</v>
      </c>
      <c r="E696">
        <f>IFERROR(IF(_xlfn.XLOOKUP(#REF!, Tableau5[Code sandre], Tableau5[Code sandre],, 0) &lt;&gt; "", 1, ""), "")</f>
        <v/>
      </c>
    </row>
    <row r="697">
      <c r="A697" t="inlineStr">
        <is>
          <t>FLUOR</t>
        </is>
      </c>
      <c r="B697" t="inlineStr">
        <is>
          <t>7782-41-4</t>
        </is>
      </c>
      <c r="C697" s="1" t="n">
        <v>1391</v>
      </c>
      <c r="E697">
        <f>IFERROR(IF(_xlfn.XLOOKUP(#REF!, Tableau5[Code sandre], Tableau5[Code sandre],, 0) &lt;&gt; "", 1, ""), "")</f>
        <v/>
      </c>
    </row>
    <row r="698">
      <c r="A698" t="inlineStr">
        <is>
          <t>FLUORANTHENE</t>
        </is>
      </c>
      <c r="B698" t="inlineStr">
        <is>
          <t>206-44-0</t>
        </is>
      </c>
      <c r="C698" s="1" t="n">
        <v>1191</v>
      </c>
      <c r="E698">
        <f>IFERROR(IF(_xlfn.XLOOKUP(#REF!, Tableau5[Code sandre], Tableau5[Code sandre],, 0) &lt;&gt; "", 1, ""), "")</f>
        <v/>
      </c>
    </row>
    <row r="699">
      <c r="A699" t="inlineStr">
        <is>
          <t>FLUORENE</t>
        </is>
      </c>
      <c r="B699" t="inlineStr">
        <is>
          <t>86-73-7</t>
        </is>
      </c>
      <c r="C699" s="1" t="n">
        <v>1623</v>
      </c>
      <c r="E699">
        <f>IFERROR(IF(_xlfn.XLOOKUP(#REF!, Tableau5[Code sandre], Tableau5[Code sandre],, 0) &lt;&gt; "", 1, ""), "")</f>
        <v/>
      </c>
    </row>
    <row r="700">
      <c r="A700" t="inlineStr">
        <is>
          <t>FLUORURES</t>
        </is>
      </c>
      <c r="B700" t="inlineStr">
        <is>
          <t>16984-48-8</t>
        </is>
      </c>
      <c r="C700" s="1" t="n">
        <v>7073</v>
      </c>
      <c r="E700">
        <f>IFERROR(IF(_xlfn.XLOOKUP(#REF!, Tableau5[Code sandre], Tableau5[Code sandre],, 0) &lt;&gt; "", 1, ""), "")</f>
        <v/>
      </c>
    </row>
    <row r="701">
      <c r="A701" t="inlineStr">
        <is>
          <t>FLUOXASTROBINE</t>
        </is>
      </c>
      <c r="B701" t="inlineStr">
        <is>
          <t>361377-29-9</t>
        </is>
      </c>
      <c r="C701" s="1" t="n">
        <v>5638</v>
      </c>
      <c r="E701">
        <f>IFERROR(IF(_xlfn.XLOOKUP(#REF!, Tableau5[Code sandre], Tableau5[Code sandre],, 0) &lt;&gt; "", 1, ""), "")</f>
        <v/>
      </c>
    </row>
    <row r="702">
      <c r="A702" t="inlineStr">
        <is>
          <t>FLUPYRSULFURON_METHYL_SODIUM</t>
        </is>
      </c>
      <c r="B702" t="inlineStr">
        <is>
          <t>144740-54-5</t>
        </is>
      </c>
      <c r="C702" s="1" t="n">
        <v>2565</v>
      </c>
      <c r="E702">
        <f>IFERROR(IF(_xlfn.XLOOKUP(#REF!, Tableau5[Code sandre], Tableau5[Code sandre],, 0) &lt;&gt; "", 1, ""), "")</f>
        <v/>
      </c>
    </row>
    <row r="703">
      <c r="A703" t="inlineStr">
        <is>
          <t>FLUQUINCONAZOLE</t>
        </is>
      </c>
      <c r="B703" t="inlineStr">
        <is>
          <t>136426-54-5</t>
        </is>
      </c>
      <c r="C703" s="1" t="n">
        <v>2056</v>
      </c>
      <c r="E703">
        <f>IFERROR(IF(_xlfn.XLOOKUP(#REF!, Tableau5[Code sandre], Tableau5[Code sandre],, 0) &lt;&gt; "", 1, ""), "")</f>
        <v/>
      </c>
    </row>
    <row r="704">
      <c r="A704" t="inlineStr">
        <is>
          <t>FLUROCHLORIDONE</t>
        </is>
      </c>
      <c r="B704" t="inlineStr">
        <is>
          <t>61213-25-0</t>
        </is>
      </c>
      <c r="C704" s="1" t="n">
        <v>1675</v>
      </c>
      <c r="E704">
        <f>IFERROR(IF(_xlfn.XLOOKUP(#REF!, Tableau5[Code sandre], Tableau5[Code sandre],, 0) &lt;&gt; "", 1, ""), "")</f>
        <v/>
      </c>
    </row>
    <row r="705">
      <c r="A705" s="11" t="inlineStr">
        <is>
          <t>FLUROCHLORIDONE_ST</t>
        </is>
      </c>
      <c r="B705" t="inlineStr">
        <is>
          <t>61213-25-0</t>
        </is>
      </c>
      <c r="C705" s="12" t="n">
        <v>1675</v>
      </c>
      <c r="E705">
        <f>IFERROR(IF(_xlfn.XLOOKUP(#REF!, Tableau5[Code sandre], Tableau5[Code sandre],, 0) &lt;&gt; "", 1, ""), "")</f>
        <v/>
      </c>
    </row>
    <row r="706">
      <c r="A706" t="inlineStr">
        <is>
          <t>FLUROXYPYR_ESTER_METHYLHEPTYL</t>
        </is>
      </c>
      <c r="B706" t="inlineStr">
        <is>
          <t>81406-37-3</t>
        </is>
      </c>
      <c r="C706" s="1" t="n">
        <v>2547</v>
      </c>
      <c r="D706" t="inlineStr">
        <is>
          <t>CYANO05</t>
        </is>
      </c>
      <c r="E706">
        <f>IFERROR(IF(_xlfn.XLOOKUP(#REF!, Tableau5[Code sandre], Tableau5[Code sandre],, 0) &lt;&gt; "", 1, ""), "")</f>
        <v/>
      </c>
    </row>
    <row r="707">
      <c r="A707" t="inlineStr">
        <is>
          <t>FLUROXYPYR_TOTAL</t>
        </is>
      </c>
      <c r="B707" t="inlineStr">
        <is>
          <t>69377-81-7</t>
        </is>
      </c>
      <c r="C707" s="1" t="n">
        <v>1765</v>
      </c>
      <c r="E707">
        <f>IFERROR(IF(_xlfn.XLOOKUP(#REF!, Tableau5[Code sandre], Tableau5[Code sandre],, 0) &lt;&gt; "", 1, ""), "")</f>
        <v/>
      </c>
    </row>
    <row r="708">
      <c r="A708" t="inlineStr">
        <is>
          <t>FLURTAMONE</t>
        </is>
      </c>
      <c r="B708" t="inlineStr">
        <is>
          <t>96525-23-4</t>
        </is>
      </c>
      <c r="C708" s="1" t="n">
        <v>2008</v>
      </c>
      <c r="E708">
        <f>IFERROR(IF(_xlfn.XLOOKUP(#REF!, Tableau5[Code sandre], Tableau5[Code sandre],, 0) &lt;&gt; "", 1, ""), "")</f>
        <v/>
      </c>
    </row>
    <row r="709">
      <c r="A709" t="inlineStr">
        <is>
          <t>FLUTOLANIL</t>
        </is>
      </c>
      <c r="B709" t="inlineStr">
        <is>
          <t>66332-96-5</t>
        </is>
      </c>
      <c r="C709" s="1" t="n">
        <v>2985</v>
      </c>
      <c r="E709">
        <f>IFERROR(IF(_xlfn.XLOOKUP(#REF!, Tableau5[Code sandre], Tableau5[Code sandre],, 0) &lt;&gt; "", 1, ""), "")</f>
        <v/>
      </c>
    </row>
    <row r="710">
      <c r="A710" t="inlineStr">
        <is>
          <t>FLUTRIAFOL</t>
        </is>
      </c>
      <c r="B710" t="inlineStr">
        <is>
          <t>76674-21-0</t>
        </is>
      </c>
      <c r="C710" s="1" t="n">
        <v>1503</v>
      </c>
      <c r="E710">
        <f>IFERROR(IF(_xlfn.XLOOKUP(#REF!, Tableau5[Code sandre], Tableau5[Code sandre],, 0) &lt;&gt; "", 1, ""), "")</f>
        <v/>
      </c>
    </row>
    <row r="711">
      <c r="A711" t="inlineStr">
        <is>
          <t>FLUXAPYROXAD</t>
        </is>
      </c>
      <c r="B711" t="inlineStr">
        <is>
          <t>907204-31-3</t>
        </is>
      </c>
      <c r="C711" s="1" t="n">
        <v>7342</v>
      </c>
      <c r="E711">
        <f>IFERROR(IF(_xlfn.XLOOKUP(#REF!, Tableau5[Code sandre], Tableau5[Code sandre],, 0) &lt;&gt; "", 1, ""), "")</f>
        <v/>
      </c>
    </row>
    <row r="712">
      <c r="A712" t="inlineStr">
        <is>
          <t>FLUZILAZOLE</t>
        </is>
      </c>
      <c r="B712" t="inlineStr">
        <is>
          <t>85509-19-9</t>
        </is>
      </c>
      <c r="C712" s="1" t="n">
        <v>1194</v>
      </c>
      <c r="E712">
        <f>IFERROR(IF(_xlfn.XLOOKUP(#REF!, Tableau5[Code sandre], Tableau5[Code sandre],, 0) &lt;&gt; "", 1, ""), "")</f>
        <v/>
      </c>
    </row>
    <row r="713">
      <c r="A713" t="inlineStr">
        <is>
          <t>FOLPEL</t>
        </is>
      </c>
      <c r="B713" t="inlineStr">
        <is>
          <t>133-07-3</t>
        </is>
      </c>
      <c r="C713" s="1" t="n">
        <v>1192</v>
      </c>
      <c r="E713">
        <f>IFERROR(IF(_xlfn.XLOOKUP(#REF!, Tableau5[Code sandre], Tableau5[Code sandre],, 0) &lt;&gt; "", 1, ""), "")</f>
        <v/>
      </c>
    </row>
    <row r="714">
      <c r="A714" t="inlineStr">
        <is>
          <t>FOMESAFEN</t>
        </is>
      </c>
      <c r="B714" t="inlineStr">
        <is>
          <t>72178-02-0</t>
        </is>
      </c>
      <c r="C714" s="1" t="n">
        <v>2075</v>
      </c>
      <c r="E714">
        <f>IFERROR(IF(_xlfn.XLOOKUP(#REF!, Tableau5[Code sandre], Tableau5[Code sandre],, 0) &lt;&gt; "", 1, ""), "")</f>
        <v/>
      </c>
    </row>
    <row r="715">
      <c r="A715" t="inlineStr">
        <is>
          <t>FONOFOS</t>
        </is>
      </c>
      <c r="B715" t="inlineStr">
        <is>
          <t>944-22-9</t>
        </is>
      </c>
      <c r="C715" s="1" t="n">
        <v>1674</v>
      </c>
      <c r="E715">
        <f>IFERROR(IF(_xlfn.XLOOKUP(#REF!, Tableau5[Code sandre], Tableau5[Code sandre],, 0) &lt;&gt; "", 1, ""), "")</f>
        <v/>
      </c>
    </row>
    <row r="716">
      <c r="A716" t="inlineStr">
        <is>
          <t>FORAMSULFURON</t>
        </is>
      </c>
      <c r="B716" t="inlineStr">
        <is>
          <t>173159-57-4</t>
        </is>
      </c>
      <c r="C716" s="1" t="n">
        <v>2806</v>
      </c>
      <c r="E716">
        <f>IFERROR(IF(_xlfn.XLOOKUP(#REF!, Tableau5[Code sandre], Tableau5[Code sandre],, 0) &lt;&gt; "", 1, ""), "")</f>
        <v/>
      </c>
    </row>
    <row r="717">
      <c r="A717" t="inlineStr">
        <is>
          <t>FORMALDEHYDE</t>
        </is>
      </c>
      <c r="B717" t="inlineStr">
        <is>
          <t>50-00-0</t>
        </is>
      </c>
      <c r="C717" s="1" t="n">
        <v>1702</v>
      </c>
      <c r="E717">
        <f>IFERROR(IF(_xlfn.XLOOKUP(#REF!, Tableau5[Code sandre], Tableau5[Code sandre],, 0) &lt;&gt; "", 1, ""), "")</f>
        <v/>
      </c>
    </row>
    <row r="718">
      <c r="A718" t="inlineStr">
        <is>
          <t>FOSA</t>
        </is>
      </c>
      <c r="B718" t="inlineStr">
        <is>
          <t>754-91-6</t>
        </is>
      </c>
      <c r="C718" s="1" t="n">
        <v>6548</v>
      </c>
      <c r="E718">
        <f>IFERROR(IF(_xlfn.XLOOKUP(#REF!, Tableau5[Code sandre], Tableau5[Code sandre],, 0) &lt;&gt; "", 1, ""), "")</f>
        <v/>
      </c>
    </row>
    <row r="719">
      <c r="A719" t="inlineStr">
        <is>
          <t>FOSETYL</t>
        </is>
      </c>
      <c r="B719" t="inlineStr">
        <is>
          <t>15845-66-6</t>
        </is>
      </c>
      <c r="C719" s="1" t="n">
        <v>1816</v>
      </c>
      <c r="E719">
        <f>IFERROR(IF(_xlfn.XLOOKUP(#REF!, Tableau5[Code sandre], Tableau5[Code sandre],, 0) &lt;&gt; "", 1, ""), "")</f>
        <v/>
      </c>
    </row>
    <row r="720">
      <c r="A720" t="inlineStr">
        <is>
          <t>FOSETYL_ALUMINIUM</t>
        </is>
      </c>
      <c r="B720" t="inlineStr">
        <is>
          <t>39148-24-8</t>
        </is>
      </c>
      <c r="C720" s="1" t="n">
        <v>1975</v>
      </c>
      <c r="E720">
        <f>IFERROR(IF(_xlfn.XLOOKUP(#REF!, Tableau5[Code sandre], Tableau5[Code sandre],, 0) &lt;&gt; "", 1, ""), "")</f>
        <v/>
      </c>
    </row>
    <row r="721">
      <c r="A721" t="inlineStr">
        <is>
          <t>FRACTION_SOLUBLE_105</t>
        </is>
      </c>
      <c r="C721" s="1" t="n">
        <v>5541</v>
      </c>
      <c r="D721" t="inlineStr">
        <is>
          <t>BAPYR</t>
        </is>
      </c>
      <c r="E721">
        <f>IFERROR(IF(_xlfn.XLOOKUP(#REF!, Tableau5[Code sandre], Tableau5[Code sandre],, 0) &lt;&gt; "", 1, ""), "")</f>
        <v/>
      </c>
    </row>
    <row r="722">
      <c r="A722" t="inlineStr">
        <is>
          <t>FURFURAL</t>
        </is>
      </c>
      <c r="B722" t="inlineStr">
        <is>
          <t>98-01-1</t>
        </is>
      </c>
      <c r="C722" s="1" t="n">
        <v>2720</v>
      </c>
      <c r="E722">
        <f>IFERROR(IF(_xlfn.XLOOKUP(#REF!, Tableau5[Code sandre], Tableau5[Code sandre],, 0) &lt;&gt; "", 1, ""), "")</f>
        <v/>
      </c>
    </row>
    <row r="723">
      <c r="A723" t="inlineStr">
        <is>
          <t>FUROSEMIDE</t>
        </is>
      </c>
      <c r="B723" t="inlineStr">
        <is>
          <t>54-31-9</t>
        </is>
      </c>
      <c r="C723" s="1" t="n">
        <v>5364</v>
      </c>
      <c r="E723">
        <f>IFERROR(IF(_xlfn.XLOOKUP(#REF!, Tableau5[Code sandre], Tableau5[Code sandre],, 0) &lt;&gt; "", 1, ""), "")</f>
        <v/>
      </c>
    </row>
    <row r="724">
      <c r="A724" t="inlineStr">
        <is>
          <t>GADOLINIUM</t>
        </is>
      </c>
      <c r="B724" t="inlineStr">
        <is>
          <t>7440-54-2</t>
        </is>
      </c>
      <c r="C724" s="1" t="n">
        <v>2788</v>
      </c>
      <c r="D724" t="inlineStr">
        <is>
          <t>TCTFM</t>
        </is>
      </c>
      <c r="E724">
        <f>IFERROR(IF(_xlfn.XLOOKUP(#REF!, Tableau5[Code sandre], Tableau5[Code sandre],, 0) &lt;&gt; "", 1, ""), "")</f>
        <v/>
      </c>
    </row>
    <row r="725">
      <c r="A725" t="inlineStr">
        <is>
          <t>GALAXOLIDE</t>
        </is>
      </c>
      <c r="B725" t="inlineStr">
        <is>
          <t>1222-05-5</t>
        </is>
      </c>
      <c r="C725" s="1" t="n">
        <v>6618</v>
      </c>
      <c r="E725">
        <f>IFERROR(IF(_xlfn.XLOOKUP(#REF!, Tableau5[Code sandre], Tableau5[Code sandre],, 0) &lt;&gt; "", 1, ""), "")</f>
        <v/>
      </c>
    </row>
    <row r="726">
      <c r="A726" t="inlineStr">
        <is>
          <t>GALLIUM</t>
        </is>
      </c>
      <c r="B726" t="inlineStr">
        <is>
          <t>7440-55-3</t>
        </is>
      </c>
      <c r="C726" s="1" t="n">
        <v>2789</v>
      </c>
      <c r="D726" t="inlineStr">
        <is>
          <t>MCPA</t>
        </is>
      </c>
      <c r="E726">
        <f>IFERROR(IF(_xlfn.XLOOKUP(#REF!, Tableau5[Code sandre], Tableau5[Code sandre],, 0) &lt;&gt; "", 1, ""), "")</f>
        <v/>
      </c>
    </row>
    <row r="727">
      <c r="A727" t="inlineStr">
        <is>
          <t>GAMMA-CYHALOTHRINE</t>
        </is>
      </c>
      <c r="B727" t="inlineStr">
        <is>
          <t>76703-62-3</t>
        </is>
      </c>
      <c r="C727" s="1" t="n">
        <v>8744</v>
      </c>
      <c r="E727">
        <f>IFERROR(IF(_xlfn.XLOOKUP(#REF!, Tableau5[Code sandre], Tableau5[Code sandre],, 0) &lt;&gt; "", 1, ""), "")</f>
        <v/>
      </c>
    </row>
    <row r="728">
      <c r="A728" t="inlineStr">
        <is>
          <t>GEMFIBROZIL</t>
        </is>
      </c>
      <c r="B728" t="inlineStr">
        <is>
          <t>25812-30-0</t>
        </is>
      </c>
      <c r="C728" s="1" t="n">
        <v>5365</v>
      </c>
      <c r="D728" t="inlineStr">
        <is>
          <t>ANTHRAD</t>
        </is>
      </c>
      <c r="E728">
        <f>IFERROR(IF(_xlfn.XLOOKUP(#REF!, Tableau5[Code sandre], Tableau5[Code sandre],, 0) &lt;&gt; "", 1, ""), "")</f>
        <v/>
      </c>
    </row>
    <row r="729">
      <c r="A729" t="inlineStr">
        <is>
          <t>GENX</t>
        </is>
      </c>
      <c r="B729" t="inlineStr">
        <is>
          <t>13252-13-6</t>
        </is>
      </c>
      <c r="C729" s="1" t="n">
        <v>8982</v>
      </c>
      <c r="E729">
        <f>IFERROR(IF(_xlfn.XLOOKUP(#REF!, Tableau5[Code sandre], Tableau5[Code sandre],, 0) &lt;&gt; "", 1, ""), "")</f>
        <v/>
      </c>
    </row>
    <row r="730">
      <c r="A730" t="inlineStr">
        <is>
          <t>GEOSMINE</t>
        </is>
      </c>
      <c r="B730" t="inlineStr">
        <is>
          <t>19700-21-1</t>
        </is>
      </c>
      <c r="C730" s="1" t="n">
        <v>1505</v>
      </c>
      <c r="D730" t="inlineStr">
        <is>
          <t>ANTHRAD</t>
        </is>
      </c>
      <c r="E730">
        <f>IFERROR(IF(_xlfn.XLOOKUP(#REF!, Tableau5[Code sandre], Tableau5[Code sandre],, 0) &lt;&gt; "", 1, ""), "")</f>
        <v/>
      </c>
    </row>
    <row r="731">
      <c r="A731" t="inlineStr">
        <is>
          <t>GERMANIUM</t>
        </is>
      </c>
      <c r="B731" t="inlineStr">
        <is>
          <t>7440-56-4</t>
        </is>
      </c>
      <c r="C731" s="1" t="n">
        <v>6070</v>
      </c>
      <c r="E731">
        <f>IFERROR(IF(_xlfn.XLOOKUP(#REF!, Tableau5[Code sandre], Tableau5[Code sandre],, 0) &lt;&gt; "", 1, ""), "")</f>
        <v/>
      </c>
    </row>
    <row r="732">
      <c r="A732" t="inlineStr">
        <is>
          <t>GLUFOSINATE_DAMMONIUM</t>
        </is>
      </c>
      <c r="B732" t="inlineStr">
        <is>
          <t>77182-82-2</t>
        </is>
      </c>
      <c r="C732" s="1" t="n">
        <v>2731</v>
      </c>
      <c r="E732">
        <f>IFERROR(IF(_xlfn.XLOOKUP(#REF!, Tableau5[Code sandre], Tableau5[Code sandre],, 0) &lt;&gt; "", 1, ""), "")</f>
        <v/>
      </c>
    </row>
    <row r="733">
      <c r="A733" t="inlineStr">
        <is>
          <t>GLUTARALDEHYDE</t>
        </is>
      </c>
      <c r="B733" t="inlineStr">
        <is>
          <t>111-30-8</t>
        </is>
      </c>
      <c r="C733" s="1" t="n">
        <v>5642</v>
      </c>
      <c r="E733">
        <f>IFERROR(IF(_xlfn.XLOOKUP(#REF!, Tableau5[Code sandre], Tableau5[Code sandre],, 0) &lt;&gt; "", 1, ""), "")</f>
        <v/>
      </c>
    </row>
    <row r="734">
      <c r="A734" t="inlineStr">
        <is>
          <t>GLYCEROL</t>
        </is>
      </c>
      <c r="B734" t="inlineStr">
        <is>
          <t>56-81-5</t>
        </is>
      </c>
      <c r="C734" s="1" t="n">
        <v>6071</v>
      </c>
      <c r="E734">
        <f>IFERROR(IF(_xlfn.XLOOKUP(#REF!, Tableau5[Code sandre], Tableau5[Code sandre],, 0) &lt;&gt; "", 1, ""), "")</f>
        <v/>
      </c>
    </row>
    <row r="735">
      <c r="A735" t="inlineStr">
        <is>
          <t>GLYPHOSATE</t>
        </is>
      </c>
      <c r="C735" t="n">
        <v>1506</v>
      </c>
      <c r="E735">
        <f>IFERROR(IF(_xlfn.XLOOKUP(#REF!, Tableau5[Code sandre], Tableau5[Code sandre],, 0) &lt;&gt; "", 1, ""), "")</f>
        <v/>
      </c>
    </row>
    <row r="736">
      <c r="A736" t="inlineStr">
        <is>
          <t>GLYPHOSATE_ST</t>
        </is>
      </c>
      <c r="C736" s="1" t="n">
        <v>1506</v>
      </c>
      <c r="E736">
        <f>IFERROR(IF(_xlfn.XLOOKUP(#REF!, Tableau5[Code sandre], Tableau5[Code sandre],, 0) &lt;&gt; "", 1, ""), "")</f>
        <v/>
      </c>
    </row>
    <row r="737">
      <c r="A737" t="inlineStr">
        <is>
          <t>HAFNIUM</t>
        </is>
      </c>
      <c r="B737" t="inlineStr">
        <is>
          <t>7440-58-6</t>
        </is>
      </c>
      <c r="C737" s="1" t="n">
        <v>3343</v>
      </c>
      <c r="D737" t="inlineStr">
        <is>
          <t>MCPA</t>
        </is>
      </c>
      <c r="E737">
        <f>IFERROR(IF(_xlfn.XLOOKUP(#REF!, Tableau5[Code sandre], Tableau5[Code sandre],, 0) &lt;&gt; "", 1, ""), "")</f>
        <v/>
      </c>
    </row>
    <row r="738">
      <c r="A738" t="inlineStr">
        <is>
          <t>HALOXYFOP-ETHOXY-ETHYL</t>
        </is>
      </c>
      <c r="B738" t="inlineStr">
        <is>
          <t>87237-48-7</t>
        </is>
      </c>
      <c r="C738" s="1" t="n">
        <v>1833</v>
      </c>
      <c r="E738">
        <f>IFERROR(IF(_xlfn.XLOOKUP(#REF!, Tableau5[Code sandre], Tableau5[Code sandre],, 0) &lt;&gt; "", 1, ""), "")</f>
        <v/>
      </c>
    </row>
    <row r="739">
      <c r="A739" t="inlineStr">
        <is>
          <t>HALOXYFOP-R_METHYL_ESTER</t>
        </is>
      </c>
      <c r="B739" t="inlineStr">
        <is>
          <t>72619-32-0</t>
        </is>
      </c>
      <c r="C739" s="1" t="n">
        <v>1909</v>
      </c>
      <c r="E739">
        <f>IFERROR(IF(_xlfn.XLOOKUP(#REF!, Tableau5[Code sandre], Tableau5[Code sandre],, 0) &lt;&gt; "", 1, ""), "")</f>
        <v/>
      </c>
    </row>
    <row r="740">
      <c r="A740" s="13" t="inlineStr">
        <is>
          <t>HBCDD_ST</t>
        </is>
      </c>
      <c r="C740" s="1" t="n">
        <v>7128</v>
      </c>
      <c r="E740">
        <f>IFERROR(IF(_xlfn.XLOOKUP(#REF!, Tableau5[Code sandre], Tableau5[Code sandre],, 0) &lt;&gt; "", 1, ""), "")</f>
        <v/>
      </c>
    </row>
    <row r="741">
      <c r="A741" t="inlineStr">
        <is>
          <t>HCH_ALPHA</t>
        </is>
      </c>
      <c r="B741" t="inlineStr">
        <is>
          <t>319-84-6</t>
        </is>
      </c>
      <c r="C741" s="1" t="n">
        <v>1200</v>
      </c>
      <c r="E741">
        <f>IFERROR(IF(_xlfn.XLOOKUP(#REF!, Tableau5[Code sandre], Tableau5[Code sandre],, 0) &lt;&gt; "", 1, ""), "")</f>
        <v/>
      </c>
    </row>
    <row r="742">
      <c r="A742" t="inlineStr">
        <is>
          <t>HCH_BETA</t>
        </is>
      </c>
      <c r="B742" t="inlineStr">
        <is>
          <t>319-85-7</t>
        </is>
      </c>
      <c r="C742" s="1" t="n">
        <v>1201</v>
      </c>
      <c r="E742">
        <f>IFERROR(IF(_xlfn.XLOOKUP(#REF!, Tableau5[Code sandre], Tableau5[Code sandre],, 0) &lt;&gt; "", 1, ""), "")</f>
        <v/>
      </c>
    </row>
    <row r="743">
      <c r="A743" t="inlineStr">
        <is>
          <t>HCH_DELTA</t>
        </is>
      </c>
      <c r="B743" t="inlineStr">
        <is>
          <t>319-86-8</t>
        </is>
      </c>
      <c r="C743" s="1" t="n">
        <v>1202</v>
      </c>
      <c r="E743">
        <f>IFERROR(IF(_xlfn.XLOOKUP(#REF!, Tableau5[Code sandre], Tableau5[Code sandre],, 0) &lt;&gt; "", 1, ""), "")</f>
        <v/>
      </c>
    </row>
    <row r="744">
      <c r="A744" t="inlineStr">
        <is>
          <t>HCH_EPSILON</t>
        </is>
      </c>
      <c r="B744" t="n">
        <v>1537222</v>
      </c>
      <c r="C744" s="1" t="n">
        <v>2046</v>
      </c>
      <c r="E744">
        <f>IFERROR(IF(_xlfn.XLOOKUP(#REF!, Tableau5[Code sandre], Tableau5[Code sandre],, 0) &lt;&gt; "", 1, ""), "")</f>
        <v/>
      </c>
    </row>
    <row r="745">
      <c r="A745" t="inlineStr">
        <is>
          <t>HCH_TOTAUX</t>
        </is>
      </c>
      <c r="C745" s="1" t="n">
        <v>5537</v>
      </c>
      <c r="E745">
        <f>IFERROR(IF(_xlfn.XLOOKUP(#REF!, Tableau5[Code sandre], Tableau5[Code sandre],, 0) &lt;&gt; "", 1, ""), "")</f>
        <v/>
      </c>
    </row>
    <row r="746">
      <c r="A746" t="inlineStr">
        <is>
          <t>HEPTACHLOR_EPOXIDE_EXO-ENDO</t>
        </is>
      </c>
      <c r="C746" s="1" t="n">
        <v>1198</v>
      </c>
      <c r="E746">
        <f>IFERROR(IF(_xlfn.XLOOKUP(#REF!, Tableau5[Code sandre], Tableau5[Code sandre],, 0) &lt;&gt; "", 1, ""), "")</f>
        <v/>
      </c>
    </row>
    <row r="747">
      <c r="A747" t="inlineStr">
        <is>
          <t>HEPTACHLORE</t>
        </is>
      </c>
      <c r="C747" t="n">
        <v>1197</v>
      </c>
      <c r="E747">
        <f>IFERROR(IF(_xlfn.XLOOKUP(#REF!, Tableau5[Code sandre], Tableau5[Code sandre],, 0) &lt;&gt; "", 1, ""), "")</f>
        <v/>
      </c>
    </row>
    <row r="748">
      <c r="A748" t="inlineStr">
        <is>
          <t>HEPTACHLORE_ENDO_EPOXIDE</t>
        </is>
      </c>
      <c r="B748" t="inlineStr">
        <is>
          <t>28044-83-9</t>
        </is>
      </c>
      <c r="C748" s="1" t="n">
        <v>1749</v>
      </c>
      <c r="E748">
        <f>IFERROR(IF(_xlfn.XLOOKUP(#REF!, Tableau5[Code sandre], Tableau5[Code sandre],, 0) &lt;&gt; "", 1, ""), "")</f>
        <v/>
      </c>
    </row>
    <row r="749">
      <c r="A749" t="inlineStr">
        <is>
          <t>HEPTACHLORE_EPOXIDE_EPO</t>
        </is>
      </c>
      <c r="C749" t="n">
        <v>1749</v>
      </c>
      <c r="E749">
        <f>IFERROR(IF(_xlfn.XLOOKUP(#REF!, Tableau5[Code sandre], Tableau5[Code sandre],, 0) &lt;&gt; "", 1, ""), "")</f>
        <v/>
      </c>
    </row>
    <row r="750">
      <c r="A750" t="inlineStr">
        <is>
          <t>HEPTACHLORE_EPOXIDE_EPO_ST</t>
        </is>
      </c>
      <c r="C750" s="1" t="n">
        <v>1748</v>
      </c>
      <c r="E750">
        <f>IFERROR(IF(_xlfn.XLOOKUP(#REF!, Tableau5[Code sandre], Tableau5[Code sandre],, 0) &lt;&gt; "", 1, ""), "")</f>
        <v/>
      </c>
    </row>
    <row r="751">
      <c r="A751" t="inlineStr">
        <is>
          <t>HEPTACHLORE_EXO_EPOXIDE</t>
        </is>
      </c>
      <c r="B751" t="inlineStr">
        <is>
          <t>1024-57-3</t>
        </is>
      </c>
      <c r="C751" s="1" t="n">
        <v>1748</v>
      </c>
      <c r="E751">
        <f>IFERROR(IF(_xlfn.XLOOKUP(#REF!, Tableau5[Code sandre], Tableau5[Code sandre],, 0) &lt;&gt; "", 1, ""), "")</f>
        <v/>
      </c>
    </row>
    <row r="752">
      <c r="A752" t="inlineStr">
        <is>
          <t>HEPTACHLORE_EXO_EPOXIDE_ST</t>
        </is>
      </c>
      <c r="C752" t="n">
        <v>1748</v>
      </c>
      <c r="E752">
        <f>IFERROR(IF(_xlfn.XLOOKUP(#REF!, Tableau5[Code sandre], Tableau5[Code sandre],, 0) &lt;&gt; "", 1, ""), "")</f>
        <v/>
      </c>
    </row>
    <row r="753">
      <c r="A753" t="inlineStr">
        <is>
          <t>HEPTACHLORE_ST</t>
        </is>
      </c>
      <c r="C753" s="1" t="n">
        <v>1197</v>
      </c>
      <c r="E753">
        <f>IFERROR(IF(_xlfn.XLOOKUP(#REF!, Tableau5[Code sandre], Tableau5[Code sandre],, 0) &lt;&gt; "", 1, ""), "")</f>
        <v/>
      </c>
    </row>
    <row r="754">
      <c r="A754" t="inlineStr">
        <is>
          <t>HEXABROMOBIPHENYL</t>
        </is>
      </c>
      <c r="B754" t="inlineStr">
        <is>
          <t>36355-01-8</t>
        </is>
      </c>
      <c r="C754" s="1" t="n">
        <v>1922</v>
      </c>
      <c r="E754">
        <f>IFERROR(IF(_xlfn.XLOOKUP(#REF!, Tableau5[Code sandre], Tableau5[Code sandre],, 0) &lt;&gt; "", 1, ""), "")</f>
        <v/>
      </c>
    </row>
    <row r="755">
      <c r="A755" t="inlineStr">
        <is>
          <t>HEXACHLOROBENZENE</t>
        </is>
      </c>
      <c r="C755" s="1" t="n">
        <v>1199</v>
      </c>
      <c r="E755">
        <f>IFERROR(IF(_xlfn.XLOOKUP(#REF!, Tableau5[Code sandre], Tableau5[Code sandre],, 0) &lt;&gt; "", 1, ""), "")</f>
        <v/>
      </c>
    </row>
    <row r="756">
      <c r="A756" t="inlineStr">
        <is>
          <t>HEXACHLOROBENZENE_ST</t>
        </is>
      </c>
      <c r="C756" s="1" t="n">
        <v>1199</v>
      </c>
      <c r="E756">
        <f>IFERROR(IF(_xlfn.XLOOKUP(#REF!, Tableau5[Code sandre], Tableau5[Code sandre],, 0) &lt;&gt; "", 1, ""), "")</f>
        <v/>
      </c>
    </row>
    <row r="757">
      <c r="A757" t="inlineStr">
        <is>
          <t>HEXACHLOROBUTADIENE</t>
        </is>
      </c>
      <c r="B757" t="inlineStr">
        <is>
          <t>87-68-3</t>
        </is>
      </c>
      <c r="C757" s="1" t="n">
        <v>1652</v>
      </c>
      <c r="E757">
        <f>IFERROR(IF(_xlfn.XLOOKUP(#REF!, Tableau5[Code sandre], Tableau5[Code sandre],, 0) &lt;&gt; "", 1, ""), "")</f>
        <v/>
      </c>
    </row>
    <row r="758">
      <c r="A758" t="inlineStr">
        <is>
          <t>HEXACHLOROETHANE</t>
        </is>
      </c>
      <c r="B758" t="inlineStr">
        <is>
          <t>67-72-1</t>
        </is>
      </c>
      <c r="C758" s="1" t="n">
        <v>1656</v>
      </c>
      <c r="E758">
        <f>IFERROR(IF(_xlfn.XLOOKUP(#REF!, Tableau5[Code sandre], Tableau5[Code sandre],, 0) &lt;&gt; "", 1, ""), "")</f>
        <v/>
      </c>
    </row>
    <row r="759">
      <c r="A759" t="inlineStr">
        <is>
          <t>HEXACONAZOLE</t>
        </is>
      </c>
      <c r="B759" t="inlineStr">
        <is>
          <t>79983-71-4</t>
        </is>
      </c>
      <c r="C759" s="1" t="n">
        <v>1405</v>
      </c>
      <c r="E759">
        <f>IFERROR(IF(_xlfn.XLOOKUP(#REF!, Tableau5[Code sandre], Tableau5[Code sandre],, 0) &lt;&gt; "", 1, ""), "")</f>
        <v/>
      </c>
    </row>
    <row r="760">
      <c r="A760" t="inlineStr">
        <is>
          <t>HEXANE</t>
        </is>
      </c>
      <c r="B760" t="inlineStr">
        <is>
          <t>110-54-3</t>
        </is>
      </c>
      <c r="C760" s="1" t="n">
        <v>2675</v>
      </c>
      <c r="D760" t="inlineStr">
        <is>
          <t>12DCLE</t>
        </is>
      </c>
      <c r="E760">
        <f>IFERROR(IF(_xlfn.XLOOKUP(#REF!, Tableau5[Code sandre], Tableau5[Code sandre],, 0) &lt;&gt; "", 1, ""), "")</f>
        <v/>
      </c>
    </row>
    <row r="761">
      <c r="A761" t="inlineStr">
        <is>
          <t>HEXAZINONE</t>
        </is>
      </c>
      <c r="B761" t="inlineStr">
        <is>
          <t>51235-04-2</t>
        </is>
      </c>
      <c r="C761" s="1" t="n">
        <v>1673</v>
      </c>
      <c r="E761">
        <f>IFERROR(IF(_xlfn.XLOOKUP(#REF!, Tableau5[Code sandre], Tableau5[Code sandre],, 0) &lt;&gt; "", 1, ""), "")</f>
        <v/>
      </c>
    </row>
    <row r="762">
      <c r="A762" t="inlineStr">
        <is>
          <t>HMX</t>
        </is>
      </c>
      <c r="B762" t="inlineStr">
        <is>
          <t>2691-41-0</t>
        </is>
      </c>
      <c r="C762" s="1" t="n">
        <v>6211</v>
      </c>
      <c r="E762">
        <f>IFERROR(IF(_xlfn.XLOOKUP(#REF!, Tableau5[Code sandre], Tableau5[Code sandre],, 0) &lt;&gt; "", 1, ""), "")</f>
        <v/>
      </c>
    </row>
    <row r="763">
      <c r="A763" t="inlineStr">
        <is>
          <t>HOLMIUM</t>
        </is>
      </c>
      <c r="B763" t="inlineStr">
        <is>
          <t>7440-60-0</t>
        </is>
      </c>
      <c r="C763" s="1" t="n">
        <v>6072</v>
      </c>
      <c r="D763" t="inlineStr">
        <is>
          <t>MCPB</t>
        </is>
      </c>
      <c r="E763">
        <f>IFERROR(IF(_xlfn.XLOOKUP(#REF!, Tableau5[Code sandre], Tableau5[Code sandre],, 0) &lt;&gt; "", 1, ""), "")</f>
        <v/>
      </c>
    </row>
    <row r="764">
      <c r="A764" t="inlineStr">
        <is>
          <t>HUILES_MINERALES</t>
        </is>
      </c>
      <c r="B764" t="inlineStr">
        <is>
          <t>8042-47-5</t>
        </is>
      </c>
      <c r="C764" s="1" t="n">
        <v>1411</v>
      </c>
      <c r="D764" t="inlineStr">
        <is>
          <t>11DCLE</t>
        </is>
      </c>
      <c r="E764">
        <f>IFERROR(IF(_xlfn.XLOOKUP(#REF!, Tableau5[Code sandre], Tableau5[Code sandre],, 0) &lt;&gt; "", 1, ""), "")</f>
        <v/>
      </c>
    </row>
    <row r="765">
      <c r="A765" t="inlineStr">
        <is>
          <t>HYDRATE_DE_CHLORAL</t>
        </is>
      </c>
      <c r="B765" t="inlineStr">
        <is>
          <t>302-17-0</t>
        </is>
      </c>
      <c r="C765" s="1" t="n">
        <v>2900</v>
      </c>
      <c r="E765">
        <f>IFERROR(IF(_xlfn.XLOOKUP(#REF!, Tableau5[Code sandre], Tableau5[Code sandre],, 0) &lt;&gt; "", 1, ""), "")</f>
        <v/>
      </c>
    </row>
    <row r="766">
      <c r="A766" t="inlineStr">
        <is>
          <t>HYDRAZINE</t>
        </is>
      </c>
      <c r="B766" t="inlineStr">
        <is>
          <t>302-01-2</t>
        </is>
      </c>
      <c r="C766" s="1" t="n">
        <v>6323</v>
      </c>
      <c r="D766" t="inlineStr">
        <is>
          <t>BFLN</t>
        </is>
      </c>
      <c r="E766">
        <f>IFERROR(IF(_xlfn.XLOOKUP(#REF!, Tableau5[Code sandre], Tableau5[Code sandre],, 0) &lt;&gt; "", 1, ""), "")</f>
        <v/>
      </c>
    </row>
    <row r="767">
      <c r="A767" t="inlineStr">
        <is>
          <t>HYDROCARBURES_ALIPHATIQUES_C10-C12</t>
        </is>
      </c>
      <c r="C767" s="1" t="n">
        <v>6137</v>
      </c>
      <c r="E767">
        <f>IFERROR(IF(_xlfn.XLOOKUP(#REF!, Tableau5[Code sandre], Tableau5[Code sandre],, 0) &lt;&gt; "", 1, ""), "")</f>
        <v/>
      </c>
    </row>
    <row r="768">
      <c r="A768" t="inlineStr">
        <is>
          <t>HYDROCARBURES_ALIPHATIQUES_C12-C16</t>
        </is>
      </c>
      <c r="C768" s="1" t="n">
        <v>6226</v>
      </c>
      <c r="E768">
        <f>IFERROR(IF(_xlfn.XLOOKUP(#REF!, Tableau5[Code sandre], Tableau5[Code sandre],, 0) &lt;&gt; "", 1, ""), "")</f>
        <v/>
      </c>
    </row>
    <row r="769">
      <c r="A769" t="inlineStr">
        <is>
          <t>HYDROCARBURES_ALIPHATIQUES_C5-C6</t>
        </is>
      </c>
      <c r="C769" s="1" t="n">
        <v>6298</v>
      </c>
      <c r="E769">
        <f>IFERROR(IF(_xlfn.XLOOKUP(#REF!, Tableau5[Code sandre], Tableau5[Code sandre],, 0) &lt;&gt; "", 1, ""), "")</f>
        <v/>
      </c>
    </row>
    <row r="770">
      <c r="A770" t="inlineStr">
        <is>
          <t>HYDROCARBURES_ALIPHATIQUES_C7-C8</t>
        </is>
      </c>
      <c r="C770" s="1" t="n">
        <v>6304</v>
      </c>
      <c r="E770">
        <f>IFERROR(IF(_xlfn.XLOOKUP(#REF!, Tableau5[Code sandre], Tableau5[Code sandre],, 0) &lt;&gt; "", 1, ""), "")</f>
        <v/>
      </c>
    </row>
    <row r="771">
      <c r="A771" t="inlineStr">
        <is>
          <t>HYDROCARBURES_ALIPHATIQUES_C8-C10</t>
        </is>
      </c>
      <c r="C771" s="1" t="n">
        <v>6187</v>
      </c>
      <c r="E771">
        <f>IFERROR(IF(_xlfn.XLOOKUP(#REF!, Tableau5[Code sandre], Tableau5[Code sandre],, 0) &lt;&gt; "", 1, ""), "")</f>
        <v/>
      </c>
    </row>
    <row r="772">
      <c r="A772" t="inlineStr">
        <is>
          <t>HYDROCARBURES_AROMATIQUES_C10-C12</t>
        </is>
      </c>
      <c r="C772" s="1" t="n">
        <v>6306</v>
      </c>
      <c r="E772">
        <f>IFERROR(IF(_xlfn.XLOOKUP(#REF!, Tableau5[Code sandre], Tableau5[Code sandre],, 0) &lt;&gt; "", 1, ""), "")</f>
        <v/>
      </c>
    </row>
    <row r="773">
      <c r="A773" t="inlineStr">
        <is>
          <t>HYDROCARBURES_AROMATIQUES_C12-C16</t>
        </is>
      </c>
      <c r="C773" s="1" t="n">
        <v>6307</v>
      </c>
      <c r="E773">
        <f>IFERROR(IF(_xlfn.XLOOKUP(#REF!, Tableau5[Code sandre], Tableau5[Code sandre],, 0) &lt;&gt; "", 1, ""), "")</f>
        <v/>
      </c>
    </row>
    <row r="774">
      <c r="A774" t="inlineStr">
        <is>
          <t>HYDROCARBURES_AROMATIQUES_C5-C6</t>
        </is>
      </c>
      <c r="C774" s="1" t="n">
        <v>6635</v>
      </c>
      <c r="E774">
        <f>IFERROR(IF(_xlfn.XLOOKUP(#REF!, Tableau5[Code sandre], Tableau5[Code sandre],, 0) &lt;&gt; "", 1, ""), "")</f>
        <v/>
      </c>
    </row>
    <row r="775">
      <c r="A775" t="inlineStr">
        <is>
          <t>HYDROCARBURES_AROMATIQUES_C6-C7</t>
        </is>
      </c>
      <c r="C775" s="1" t="n">
        <v>6303</v>
      </c>
      <c r="E775">
        <f>IFERROR(IF(_xlfn.XLOOKUP(#REF!, Tableau5[Code sandre], Tableau5[Code sandre],, 0) &lt;&gt; "", 1, ""), "")</f>
        <v/>
      </c>
    </row>
    <row r="776">
      <c r="A776" t="inlineStr">
        <is>
          <t>HYDROCARBURES_AROMATIQUES_C7-C8</t>
        </is>
      </c>
      <c r="C776" s="1" t="n">
        <v>6304</v>
      </c>
      <c r="E776">
        <f>IFERROR(IF(_xlfn.XLOOKUP(#REF!, Tableau5[Code sandre], Tableau5[Code sandre],, 0) &lt;&gt; "", 1, ""), "")</f>
        <v/>
      </c>
    </row>
    <row r="777">
      <c r="A777" t="inlineStr">
        <is>
          <t>HYDROCARBURES_AROMATIQUES_C8-C10</t>
        </is>
      </c>
      <c r="C777" s="1" t="n">
        <v>6305</v>
      </c>
      <c r="E777">
        <f>IFERROR(IF(_xlfn.XLOOKUP(#REF!, Tableau5[Code sandre], Tableau5[Code sandre],, 0) &lt;&gt; "", 1, ""), "")</f>
        <v/>
      </c>
    </row>
    <row r="778">
      <c r="A778" t="inlineStr">
        <is>
          <t>HYDROCARBURES_C10-C40</t>
        </is>
      </c>
      <c r="C778" s="1" t="n">
        <v>3319</v>
      </c>
      <c r="E778">
        <f>IFERROR(IF(_xlfn.XLOOKUP(#REF!, Tableau5[Code sandre], Tableau5[Code sandre],, 0) &lt;&gt; "", 1, ""), "")</f>
        <v/>
      </c>
    </row>
    <row r="779">
      <c r="A779" t="inlineStr">
        <is>
          <t>HYDROCARBURES_TOTAUX</t>
        </is>
      </c>
      <c r="C779" s="1" t="n">
        <v>7154</v>
      </c>
      <c r="E779">
        <f>IFERROR(IF(_xlfn.XLOOKUP(#REF!, Tableau5[Code sandre], Tableau5[Code sandre],, 0) &lt;&gt; "", 1, ""), "")</f>
        <v/>
      </c>
    </row>
    <row r="780">
      <c r="A780" t="inlineStr">
        <is>
          <t>HYDROCHLOROTHIAZIDE</t>
        </is>
      </c>
      <c r="B780" t="inlineStr">
        <is>
          <t>58-93-5</t>
        </is>
      </c>
      <c r="C780" s="1" t="n">
        <v>6746</v>
      </c>
      <c r="E780">
        <f>IFERROR(IF(_xlfn.XLOOKUP(#REF!, Tableau5[Code sandre], Tableau5[Code sandre],, 0) &lt;&gt; "", 1, ""), "")</f>
        <v/>
      </c>
    </row>
    <row r="781">
      <c r="A781" t="inlineStr">
        <is>
          <t>HYDROGENOCARBONATES</t>
        </is>
      </c>
      <c r="B781" t="inlineStr">
        <is>
          <t>71-52-3</t>
        </is>
      </c>
      <c r="C781" s="1" t="n">
        <v>1327</v>
      </c>
      <c r="D781" t="inlineStr">
        <is>
          <t>AOX</t>
        </is>
      </c>
      <c r="E781">
        <f>IFERROR(IF(_xlfn.XLOOKUP(#REF!, Tableau5[Code sandre], Tableau5[Code sandre],, 0) &lt;&gt; "", 1, ""), "")</f>
        <v/>
      </c>
    </row>
    <row r="782">
      <c r="A782" t="inlineStr">
        <is>
          <t>HYDROQUINONE</t>
        </is>
      </c>
      <c r="B782" t="inlineStr">
        <is>
          <t>123-31-9</t>
        </is>
      </c>
      <c r="C782" s="1" t="n">
        <v>6563</v>
      </c>
      <c r="E782">
        <f>IFERROR(IF(_xlfn.XLOOKUP(#REF!, Tableau5[Code sandre], Tableau5[Code sandre],, 0) &lt;&gt; "", 1, ""), "")</f>
        <v/>
      </c>
    </row>
    <row r="783">
      <c r="A783" t="inlineStr">
        <is>
          <t>HYDROXYDES</t>
        </is>
      </c>
      <c r="C783" s="1" t="n">
        <v>6148</v>
      </c>
      <c r="D783" t="inlineStr">
        <is>
          <t>AOX</t>
        </is>
      </c>
      <c r="E783">
        <f>IFERROR(IF(_xlfn.XLOOKUP(#REF!, Tableau5[Code sandre], Tableau5[Code sandre],, 0) &lt;&gt; "", 1, ""), "")</f>
        <v/>
      </c>
    </row>
    <row r="784">
      <c r="A784" t="inlineStr">
        <is>
          <t>IBUPROFEN</t>
        </is>
      </c>
      <c r="B784" t="inlineStr">
        <is>
          <t>15687-27-1</t>
        </is>
      </c>
      <c r="C784" s="1" t="n">
        <v>5350</v>
      </c>
      <c r="E784">
        <f>IFERROR(IF(_xlfn.XLOOKUP(#REF!, Tableau5[Code sandre], Tableau5[Code sandre],, 0) &lt;&gt; "", 1, ""), "")</f>
        <v/>
      </c>
    </row>
    <row r="785">
      <c r="A785" t="inlineStr">
        <is>
          <t>IFOSFAMIDE</t>
        </is>
      </c>
      <c r="B785" t="inlineStr">
        <is>
          <t>3778-73-2</t>
        </is>
      </c>
      <c r="C785" s="1" t="n">
        <v>6727</v>
      </c>
      <c r="E785">
        <f>IFERROR(IF(_xlfn.XLOOKUP(#REF!, Tableau5[Code sandre], Tableau5[Code sandre],, 0) &lt;&gt; "", 1, ""), "")</f>
        <v/>
      </c>
    </row>
    <row r="786">
      <c r="A786" t="inlineStr">
        <is>
          <t>IMAZALIL</t>
        </is>
      </c>
      <c r="B786" t="inlineStr">
        <is>
          <t>35554-44-0</t>
        </is>
      </c>
      <c r="C786" s="1" t="n">
        <v>1704</v>
      </c>
      <c r="E786">
        <f>IFERROR(IF(_xlfn.XLOOKUP(#REF!, Tableau5[Code sandre], Tableau5[Code sandre],, 0) &lt;&gt; "", 1, ""), "")</f>
        <v/>
      </c>
    </row>
    <row r="787">
      <c r="A787" t="inlineStr">
        <is>
          <t>IMAZAMETHABENZ</t>
        </is>
      </c>
      <c r="B787" t="inlineStr">
        <is>
          <t>100728-84-5</t>
        </is>
      </c>
      <c r="C787" s="1" t="n">
        <v>1695</v>
      </c>
      <c r="E787">
        <f>IFERROR(IF(_xlfn.XLOOKUP(#REF!, Tableau5[Code sandre], Tableau5[Code sandre],, 0) &lt;&gt; "", 1, ""), "")</f>
        <v/>
      </c>
    </row>
    <row r="788">
      <c r="A788" t="inlineStr">
        <is>
          <t>IMAZAMETHABENZ_METHYL</t>
        </is>
      </c>
      <c r="B788" t="inlineStr">
        <is>
          <t>81405-85-8</t>
        </is>
      </c>
      <c r="C788" s="1" t="n">
        <v>1911</v>
      </c>
      <c r="E788">
        <f>IFERROR(IF(_xlfn.XLOOKUP(#REF!, Tableau5[Code sandre], Tableau5[Code sandre],, 0) &lt;&gt; "", 1, ""), "")</f>
        <v/>
      </c>
    </row>
    <row r="789">
      <c r="A789" t="inlineStr">
        <is>
          <t>IMAZAMOX</t>
        </is>
      </c>
      <c r="B789" t="inlineStr">
        <is>
          <t>114311-32-9</t>
        </is>
      </c>
      <c r="C789" s="1" t="n">
        <v>2986</v>
      </c>
      <c r="E789">
        <f>IFERROR(IF(_xlfn.XLOOKUP(#REF!, Tableau5[Code sandre], Tableau5[Code sandre],, 0) &lt;&gt; "", 1, ""), "")</f>
        <v/>
      </c>
    </row>
    <row r="790">
      <c r="A790" t="inlineStr">
        <is>
          <t>IMAZAQUIN</t>
        </is>
      </c>
      <c r="B790" t="inlineStr">
        <is>
          <t>81335-37-7</t>
        </is>
      </c>
      <c r="C790" s="1" t="n">
        <v>2860</v>
      </c>
      <c r="E790">
        <f>IFERROR(IF(_xlfn.XLOOKUP(#REF!, Tableau5[Code sandre], Tableau5[Code sandre],, 0) &lt;&gt; "", 1, ""), "")</f>
        <v/>
      </c>
    </row>
    <row r="791">
      <c r="A791" t="inlineStr">
        <is>
          <t>IMIDACLOPRIDE</t>
        </is>
      </c>
      <c r="B791" t="inlineStr">
        <is>
          <t>138261-41-3</t>
        </is>
      </c>
      <c r="C791" s="1" t="n">
        <v>1877</v>
      </c>
      <c r="E791">
        <f>IFERROR(IF(_xlfn.XLOOKUP(#REF!, Tableau5[Code sandre], Tableau5[Code sandre],, 0) &lt;&gt; "", 1, ""), "")</f>
        <v/>
      </c>
    </row>
    <row r="792">
      <c r="A792" t="inlineStr">
        <is>
          <t>IMIDACLOPRIDE_ST</t>
        </is>
      </c>
      <c r="C792" s="1" t="n">
        <v>1877</v>
      </c>
      <c r="E792">
        <f>IFERROR(IF(_xlfn.XLOOKUP(#REF!, Tableau5[Code sandre], Tableau5[Code sandre],, 0) &lt;&gt; "", 1, ""), "")</f>
        <v/>
      </c>
    </row>
    <row r="793">
      <c r="A793" t="inlineStr">
        <is>
          <t>INDENO123CDPYRENE</t>
        </is>
      </c>
      <c r="B793" t="inlineStr">
        <is>
          <t>193-39-5</t>
        </is>
      </c>
      <c r="C793" s="1" t="n">
        <v>1204</v>
      </c>
      <c r="E793">
        <f>IFERROR(IF(_xlfn.XLOOKUP(#REF!, Tableau5[Code sandre], Tableau5[Code sandre],, 0) &lt;&gt; "", 1, ""), "")</f>
        <v/>
      </c>
    </row>
    <row r="794">
      <c r="A794" t="inlineStr">
        <is>
          <t>INDICATEUR_ALPHA_GLOBAL</t>
        </is>
      </c>
      <c r="C794" s="1" t="n">
        <v>1033</v>
      </c>
      <c r="E794">
        <f>IFERROR(IF(_xlfn.XLOOKUP(#REF!, Tableau5[Code sandre], Tableau5[Code sandre],, 0) &lt;&gt; "", 1, ""), "")</f>
        <v/>
      </c>
    </row>
    <row r="795">
      <c r="A795" t="inlineStr">
        <is>
          <t>INDICATEUR_BETA_RESIDUEL</t>
        </is>
      </c>
      <c r="C795" s="1" t="n">
        <v>1036</v>
      </c>
      <c r="E795">
        <f>IFERROR(IF(_xlfn.XLOOKUP(#REF!, Tableau5[Code sandre], Tableau5[Code sandre],, 0) &lt;&gt; "", 1, ""), "")</f>
        <v/>
      </c>
    </row>
    <row r="796">
      <c r="A796" t="inlineStr">
        <is>
          <t>Indice Cyanures totaux</t>
        </is>
      </c>
      <c r="B796" t="inlineStr">
        <is>
          <t>51-50-8</t>
        </is>
      </c>
      <c r="C796" s="1" t="n">
        <v>1390</v>
      </c>
      <c r="E796">
        <f>IFERROR(IF(_xlfn.XLOOKUP(#REF!, Tableau5[Code sandre], Tableau5[Code sandre],, 0) &lt;&gt; "", 1, ""), "")</f>
        <v/>
      </c>
    </row>
    <row r="797">
      <c r="A797" t="inlineStr">
        <is>
          <t>INDICE_COLMATAGE</t>
        </is>
      </c>
      <c r="C797" s="1" t="n">
        <v>3026</v>
      </c>
      <c r="E797">
        <f>IFERROR(IF(_xlfn.XLOOKUP(#REF!, Tableau5[Code sandre], Tableau5[Code sandre],, 0) &lt;&gt; "", 1, ""), "")</f>
        <v/>
      </c>
    </row>
    <row r="798">
      <c r="A798" t="inlineStr">
        <is>
          <t>INDICE_CYANURE</t>
        </is>
      </c>
      <c r="C798" s="1" t="n">
        <v>3081</v>
      </c>
      <c r="D798" t="inlineStr">
        <is>
          <t>BTZ</t>
        </is>
      </c>
      <c r="E798">
        <f>IFERROR(IF(_xlfn.XLOOKUP(#REF!, Tableau5[Code sandre], Tableau5[Code sandre],, 0) &lt;&gt; "", 1, ""), "")</f>
        <v/>
      </c>
    </row>
    <row r="799">
      <c r="A799" t="inlineStr">
        <is>
          <t>INDICE_DE_REFRACTION_20°C</t>
        </is>
      </c>
      <c r="C799" s="1" t="n">
        <v>3033</v>
      </c>
      <c r="E799">
        <f>IFERROR(IF(_xlfn.XLOOKUP(#REF!, Tableau5[Code sandre], Tableau5[Code sandre],, 0) &lt;&gt; "", 1, ""), "")</f>
        <v/>
      </c>
    </row>
    <row r="800">
      <c r="A800" t="inlineStr">
        <is>
          <t>INDICE_HYDROCA_C10-C40</t>
        </is>
      </c>
      <c r="C800" s="1" t="n">
        <v>3184</v>
      </c>
      <c r="E800">
        <f>IFERROR(IF(_xlfn.XLOOKUP(#REF!, Tableau5[Code sandre], Tableau5[Code sandre],, 0) &lt;&gt; "", 1, ""), "")</f>
        <v/>
      </c>
    </row>
    <row r="801">
      <c r="A801" t="inlineStr">
        <is>
          <t>INDICE_HYDROCA_C5-C11</t>
        </is>
      </c>
      <c r="C801" s="1" t="n">
        <v>3183</v>
      </c>
      <c r="E801">
        <f>IFERROR(IF(_xlfn.XLOOKUP(#REF!, Tableau5[Code sandre], Tableau5[Code sandre],, 0) &lt;&gt; "", 1, ""), "")</f>
        <v/>
      </c>
    </row>
    <row r="802">
      <c r="A802" t="inlineStr">
        <is>
          <t>INDICE_LANGELIER</t>
        </is>
      </c>
      <c r="C802" s="1" t="n">
        <v>3051</v>
      </c>
      <c r="E802">
        <f>IFERROR(IF(_xlfn.XLOOKUP(#REF!, Tableau5[Code sandre], Tableau5[Code sandre],, 0) &lt;&gt; "", 1, ""), "")</f>
        <v/>
      </c>
    </row>
    <row r="803">
      <c r="A803" t="inlineStr">
        <is>
          <t>INDICE_LARSON</t>
        </is>
      </c>
      <c r="C803" s="1" t="n">
        <v>3052</v>
      </c>
      <c r="E803">
        <f>IFERROR(IF(_xlfn.XLOOKUP(#REF!, Tableau5[Code sandre], Tableau5[Code sandre],, 0) &lt;&gt; "", 1, ""), "")</f>
        <v/>
      </c>
    </row>
    <row r="804">
      <c r="A804" t="inlineStr">
        <is>
          <t>INDICE_MOHLMAN</t>
        </is>
      </c>
      <c r="C804" s="1" t="n">
        <v>3053</v>
      </c>
      <c r="E804">
        <f>IFERROR(IF(_xlfn.XLOOKUP(#REF!, Tableau5[Code sandre], Tableau5[Code sandre],, 0) &lt;&gt; "", 1, ""), "")</f>
        <v/>
      </c>
    </row>
    <row r="805">
      <c r="A805" t="inlineStr">
        <is>
          <t>INDICE_PHENOL</t>
        </is>
      </c>
      <c r="C805" s="1" t="n">
        <v>3082</v>
      </c>
      <c r="D805" t="inlineStr">
        <is>
          <t>BRF</t>
        </is>
      </c>
      <c r="E805">
        <f>IFERROR(IF(_xlfn.XLOOKUP(#REF!, Tableau5[Code sandre], Tableau5[Code sandre],, 0) &lt;&gt; "", 1, ""), "")</f>
        <v/>
      </c>
    </row>
    <row r="806">
      <c r="A806" t="inlineStr">
        <is>
          <t>INDICE_RYZNAR</t>
        </is>
      </c>
      <c r="C806" s="1" t="n">
        <v>3054</v>
      </c>
      <c r="E806">
        <f>IFERROR(IF(_xlfn.XLOOKUP(#REF!, Tableau5[Code sandre], Tableau5[Code sandre],, 0) &lt;&gt; "", 1, ""), "")</f>
        <v/>
      </c>
    </row>
    <row r="807">
      <c r="A807" t="inlineStr">
        <is>
          <t>INDIUM</t>
        </is>
      </c>
      <c r="B807" t="inlineStr">
        <is>
          <t>7440-74-6</t>
        </is>
      </c>
      <c r="C807" s="1" t="n">
        <v>2790</v>
      </c>
      <c r="D807" t="inlineStr">
        <is>
          <t>ARC42</t>
        </is>
      </c>
      <c r="E807">
        <f>IFERROR(IF(_xlfn.XLOOKUP(#REF!, Tableau5[Code sandre], Tableau5[Code sandre],, 0) &lt;&gt; "", 1, ""), "")</f>
        <v/>
      </c>
    </row>
    <row r="808">
      <c r="A808" t="inlineStr">
        <is>
          <t>INDOXACARB</t>
        </is>
      </c>
      <c r="B808" t="inlineStr">
        <is>
          <t>173584-44-6</t>
        </is>
      </c>
      <c r="C808" s="1" t="n">
        <v>5483</v>
      </c>
      <c r="E808">
        <f>IFERROR(IF(_xlfn.XLOOKUP(#REF!, Tableau5[Code sandre], Tableau5[Code sandre],, 0) &lt;&gt; "", 1, ""), "")</f>
        <v/>
      </c>
    </row>
    <row r="809">
      <c r="A809" t="inlineStr">
        <is>
          <t>INHIBITION_CROISSANCE_ALGUES</t>
        </is>
      </c>
      <c r="C809" s="1" t="n">
        <v>3432</v>
      </c>
      <c r="E809">
        <f>IFERROR(IF(_xlfn.XLOOKUP(#REF!, Tableau5[Code sandre], Tableau5[Code sandre],, 0) &lt;&gt; "", 1, ""), "")</f>
        <v/>
      </c>
    </row>
    <row r="810">
      <c r="A810" t="inlineStr">
        <is>
          <t>INHIBITION_CROISSANCE_ALGUES_CER50</t>
        </is>
      </c>
      <c r="C810" s="1" t="n">
        <v>3433</v>
      </c>
      <c r="E810">
        <f>IFERROR(IF(_xlfn.XLOOKUP(#REF!, Tableau5[Code sandre], Tableau5[Code sandre],, 0) &lt;&gt; "", 1, ""), "")</f>
        <v/>
      </c>
    </row>
    <row r="811">
      <c r="A811" t="inlineStr">
        <is>
          <t>IODOFORME</t>
        </is>
      </c>
      <c r="B811" t="inlineStr">
        <is>
          <t>75-47-8</t>
        </is>
      </c>
      <c r="C811" s="1" t="n">
        <v>7067</v>
      </c>
      <c r="E811">
        <f>IFERROR(IF(_xlfn.XLOOKUP(#REF!, Tableau5[Code sandre], Tableau5[Code sandre],, 0) &lt;&gt; "", 1, ""), "")</f>
        <v/>
      </c>
    </row>
    <row r="812">
      <c r="A812" t="inlineStr">
        <is>
          <t>IODOSULFURON_METHYL_SODIUM</t>
        </is>
      </c>
      <c r="B812" t="inlineStr">
        <is>
          <t>144550-36-7</t>
        </is>
      </c>
      <c r="C812" s="1" t="n">
        <v>6483</v>
      </c>
      <c r="E812">
        <f>IFERROR(IF(_xlfn.XLOOKUP(#REF!, Tableau5[Code sandre], Tableau5[Code sandre],, 0) &lt;&gt; "", 1, ""), "")</f>
        <v/>
      </c>
    </row>
    <row r="813">
      <c r="A813" t="inlineStr">
        <is>
          <t>IOHEXOL</t>
        </is>
      </c>
      <c r="B813" t="inlineStr">
        <is>
          <t>66108-95-0</t>
        </is>
      </c>
      <c r="C813" s="1" t="n">
        <v>7626</v>
      </c>
      <c r="E813">
        <f>IFERROR(IF(_xlfn.XLOOKUP(#REF!, Tableau5[Code sandre], Tableau5[Code sandre],, 0) &lt;&gt; "", 1, ""), "")</f>
        <v/>
      </c>
    </row>
    <row r="814">
      <c r="A814" t="inlineStr">
        <is>
          <t>IOMEPROL</t>
        </is>
      </c>
      <c r="B814" t="inlineStr">
        <is>
          <t>78649-41-9</t>
        </is>
      </c>
      <c r="C814" s="1" t="n">
        <v>8010</v>
      </c>
      <c r="E814">
        <f>IFERROR(IF(_xlfn.XLOOKUP(#REF!, Tableau5[Code sandre], Tableau5[Code sandre],, 0) &lt;&gt; "", 1, ""), "")</f>
        <v/>
      </c>
    </row>
    <row r="815">
      <c r="A815" t="inlineStr">
        <is>
          <t>IOPROMIDE</t>
        </is>
      </c>
      <c r="B815" t="inlineStr">
        <is>
          <t>73334-07-3</t>
        </is>
      </c>
      <c r="C815" s="1" t="n">
        <v>5377</v>
      </c>
      <c r="E815">
        <f>IFERROR(IF(_xlfn.XLOOKUP(#REF!, Tableau5[Code sandre], Tableau5[Code sandre],, 0) &lt;&gt; "", 1, ""), "")</f>
        <v/>
      </c>
    </row>
    <row r="816">
      <c r="A816" t="inlineStr">
        <is>
          <t>IOXYNIL</t>
        </is>
      </c>
      <c r="B816" t="inlineStr">
        <is>
          <t>1689-83-4</t>
        </is>
      </c>
      <c r="C816" s="1" t="n">
        <v>1205</v>
      </c>
      <c r="E816">
        <f>IFERROR(IF(_xlfn.XLOOKUP(#REF!, Tableau5[Code sandre], Tableau5[Code sandre],, 0) &lt;&gt; "", 1, ""), "")</f>
        <v/>
      </c>
    </row>
    <row r="817">
      <c r="A817" t="inlineStr">
        <is>
          <t>IOXYNIL_METHYL_ETHER</t>
        </is>
      </c>
      <c r="B817" t="inlineStr">
        <is>
          <t>3336-40-1</t>
        </is>
      </c>
      <c r="C817" s="1" t="n">
        <v>2871</v>
      </c>
      <c r="E817">
        <f>IFERROR(IF(_xlfn.XLOOKUP(#REF!, Tableau5[Code sandre], Tableau5[Code sandre],, 0) &lt;&gt; "", 1, ""), "")</f>
        <v/>
      </c>
    </row>
    <row r="818">
      <c r="A818" t="inlineStr">
        <is>
          <t>IOXYNIL_OCTANOATE</t>
        </is>
      </c>
      <c r="B818" t="inlineStr">
        <is>
          <t>3861-47-0</t>
        </is>
      </c>
      <c r="C818" s="1" t="n">
        <v>1942</v>
      </c>
      <c r="E818">
        <f>IFERROR(IF(_xlfn.XLOOKUP(#REF!, Tableau5[Code sandre], Tableau5[Code sandre],, 0) &lt;&gt; "", 1, ""), "")</f>
        <v/>
      </c>
    </row>
    <row r="819">
      <c r="A819" t="inlineStr">
        <is>
          <t>IPRODIONE</t>
        </is>
      </c>
      <c r="B819" t="inlineStr">
        <is>
          <t>36734-19-7</t>
        </is>
      </c>
      <c r="C819" s="1" t="n">
        <v>1206</v>
      </c>
      <c r="E819">
        <f>IFERROR(IF(_xlfn.XLOOKUP(#REF!, Tableau5[Code sandre], Tableau5[Code sandre],, 0) &lt;&gt; "", 1, ""), "")</f>
        <v/>
      </c>
    </row>
    <row r="820">
      <c r="A820" t="inlineStr">
        <is>
          <t>IPRODIONE_ST</t>
        </is>
      </c>
      <c r="C820" s="1" t="n">
        <v>1206</v>
      </c>
      <c r="E820">
        <f>IFERROR(IF(_xlfn.XLOOKUP(#REF!, Tableau5[Code sandre], Tableau5[Code sandre],, 0) &lt;&gt; "", 1, ""), "")</f>
        <v/>
      </c>
    </row>
    <row r="821">
      <c r="A821" t="inlineStr">
        <is>
          <t>IPROVALICARBE</t>
        </is>
      </c>
      <c r="B821" t="inlineStr">
        <is>
          <t>140923-17-7</t>
        </is>
      </c>
      <c r="C821" s="1" t="n">
        <v>2951</v>
      </c>
      <c r="E821">
        <f>IFERROR(IF(_xlfn.XLOOKUP(#REF!, Tableau5[Code sandre], Tableau5[Code sandre],, 0) &lt;&gt; "", 1, ""), "")</f>
        <v/>
      </c>
    </row>
    <row r="822">
      <c r="A822" t="inlineStr">
        <is>
          <t>IRBESARTAN</t>
        </is>
      </c>
      <c r="B822" t="inlineStr">
        <is>
          <t>138402-11-6</t>
        </is>
      </c>
      <c r="C822" s="1" t="n">
        <v>6535</v>
      </c>
      <c r="E822">
        <f>IFERROR(IF(_xlfn.XLOOKUP(#REF!, Tableau5[Code sandre], Tableau5[Code sandre],, 0) &lt;&gt; "", 1, ""), "")</f>
        <v/>
      </c>
    </row>
    <row r="823">
      <c r="A823" t="inlineStr">
        <is>
          <t>IRGAROL_1051</t>
        </is>
      </c>
      <c r="B823" t="inlineStr">
        <is>
          <t>28159-98-0</t>
        </is>
      </c>
      <c r="C823" s="1" t="n">
        <v>1935</v>
      </c>
      <c r="E823">
        <f>IFERROR(IF(_xlfn.XLOOKUP(#REF!, Tableau5[Code sandre], Tableau5[Code sandre],, 0) &lt;&gt; "", 1, ""), "")</f>
        <v/>
      </c>
    </row>
    <row r="824">
      <c r="A824" t="inlineStr">
        <is>
          <t>ISOBUTANOL</t>
        </is>
      </c>
      <c r="B824" t="inlineStr">
        <is>
          <t>78-83-1</t>
        </is>
      </c>
      <c r="C824" s="1" t="n">
        <v>2579</v>
      </c>
      <c r="E824">
        <f>IFERROR(IF(_xlfn.XLOOKUP(#REF!, Tableau5[Code sandre], Tableau5[Code sandre],, 0) &lt;&gt; "", 1, ""), "")</f>
        <v/>
      </c>
    </row>
    <row r="825">
      <c r="A825" t="inlineStr">
        <is>
          <t>ISODRINE</t>
        </is>
      </c>
      <c r="B825" t="inlineStr">
        <is>
          <t>465-73-6</t>
        </is>
      </c>
      <c r="C825" s="1" t="n">
        <v>1207</v>
      </c>
      <c r="E825">
        <f>IFERROR(IF(_xlfn.XLOOKUP(#REF!, Tableau5[Code sandre], Tableau5[Code sandre],, 0) &lt;&gt; "", 1, ""), "")</f>
        <v/>
      </c>
    </row>
    <row r="826">
      <c r="A826" t="inlineStr">
        <is>
          <t>ISOPROPANOL</t>
        </is>
      </c>
      <c r="B826" t="inlineStr">
        <is>
          <t>67-63-0</t>
        </is>
      </c>
      <c r="C826" s="1" t="n">
        <v>2585</v>
      </c>
      <c r="E826">
        <f>IFERROR(IF(_xlfn.XLOOKUP(#REF!, Tableau5[Code sandre], Tableau5[Code sandre],, 0) &lt;&gt; "", 1, ""), "")</f>
        <v/>
      </c>
    </row>
    <row r="827">
      <c r="A827" t="inlineStr">
        <is>
          <t>ISOPROPYLBENZENE</t>
        </is>
      </c>
      <c r="B827" t="inlineStr">
        <is>
          <t>98-82-8</t>
        </is>
      </c>
      <c r="C827" s="1" t="n">
        <v>1633</v>
      </c>
      <c r="E827">
        <f>IFERROR(IF(_xlfn.XLOOKUP(#REF!, Tableau5[Code sandre], Tableau5[Code sandre],, 0) &lt;&gt; "", 1, ""), "")</f>
        <v/>
      </c>
    </row>
    <row r="828">
      <c r="A828" t="inlineStr">
        <is>
          <t>ISOPROTURON</t>
        </is>
      </c>
      <c r="B828" t="inlineStr">
        <is>
          <t>34123-59-6</t>
        </is>
      </c>
      <c r="C828" s="1" t="n">
        <v>1208</v>
      </c>
      <c r="E828">
        <f>IFERROR(IF(_xlfn.XLOOKUP(#REF!, Tableau5[Code sandre], Tableau5[Code sandre],, 0) &lt;&gt; "", 1, ""), "")</f>
        <v/>
      </c>
    </row>
    <row r="829">
      <c r="A829" t="inlineStr">
        <is>
          <t>ISOPROTURON_ST</t>
        </is>
      </c>
      <c r="C829" s="1" t="n">
        <v>1208</v>
      </c>
      <c r="E829">
        <f>IFERROR(IF(_xlfn.XLOOKUP(#REF!, Tableau5[Code sandre], Tableau5[Code sandre],, 0) &lt;&gt; "", 1, ""), "")</f>
        <v/>
      </c>
    </row>
    <row r="830">
      <c r="A830" t="inlineStr">
        <is>
          <t>ISOXABEN</t>
        </is>
      </c>
      <c r="B830" t="inlineStr">
        <is>
          <t>82558-50-7</t>
        </is>
      </c>
      <c r="C830" s="1" t="n">
        <v>1672</v>
      </c>
      <c r="E830">
        <f>IFERROR(IF(_xlfn.XLOOKUP(#REF!, Tableau5[Code sandre], Tableau5[Code sandre],, 0) &lt;&gt; "", 1, ""), "")</f>
        <v/>
      </c>
    </row>
    <row r="831">
      <c r="A831" t="inlineStr">
        <is>
          <t>ISOXADIFEN_ETHYL</t>
        </is>
      </c>
      <c r="B831" t="inlineStr">
        <is>
          <t>163520-33-0</t>
        </is>
      </c>
      <c r="C831" s="1" t="n">
        <v>2807</v>
      </c>
      <c r="E831">
        <f>IFERROR(IF(_xlfn.XLOOKUP(#REF!, Tableau5[Code sandre], Tableau5[Code sandre],, 0) &lt;&gt; "", 1, ""), "")</f>
        <v/>
      </c>
    </row>
    <row r="832">
      <c r="A832" t="inlineStr">
        <is>
          <t>ISOXAFLUTOLE</t>
        </is>
      </c>
      <c r="B832" t="inlineStr">
        <is>
          <t>141112-29-0</t>
        </is>
      </c>
      <c r="C832" s="1" t="n">
        <v>1945</v>
      </c>
      <c r="E832">
        <f>IFERROR(IF(_xlfn.XLOOKUP(#REF!, Tableau5[Code sandre], Tableau5[Code sandre],, 0) &lt;&gt; "", 1, ""), "")</f>
        <v/>
      </c>
    </row>
    <row r="833">
      <c r="A833" t="inlineStr">
        <is>
          <t>KETOPROFEN</t>
        </is>
      </c>
      <c r="B833" t="inlineStr">
        <is>
          <t>172964-50-0</t>
        </is>
      </c>
      <c r="C833" s="1" t="n">
        <v>5353</v>
      </c>
      <c r="E833">
        <f>IFERROR(IF(_xlfn.XLOOKUP(#REF!, Tableau5[Code sandre], Tableau5[Code sandre],, 0) &lt;&gt; "", 1, ""), "")</f>
        <v/>
      </c>
    </row>
    <row r="834">
      <c r="A834" t="inlineStr">
        <is>
          <t>KRESOXIM_METHYL</t>
        </is>
      </c>
      <c r="B834" t="inlineStr">
        <is>
          <t>143390-89-0</t>
        </is>
      </c>
      <c r="C834" s="1" t="n">
        <v>1950</v>
      </c>
      <c r="E834">
        <f>IFERROR(IF(_xlfn.XLOOKUP(#REF!, Tableau5[Code sandre], Tableau5[Code sandre],, 0) &lt;&gt; "", 1, ""), "")</f>
        <v/>
      </c>
    </row>
    <row r="835">
      <c r="A835" t="inlineStr">
        <is>
          <t>LAMBDA_CYHALOTHRINE</t>
        </is>
      </c>
      <c r="B835" t="inlineStr">
        <is>
          <t>91465-08-6</t>
        </is>
      </c>
      <c r="C835" s="1" t="n">
        <v>1094</v>
      </c>
      <c r="E835">
        <f>IFERROR(IF(_xlfn.XLOOKUP(#REF!, Tableau5[Code sandre], Tableau5[Code sandre],, 0) &lt;&gt; "", 1, ""), "")</f>
        <v/>
      </c>
    </row>
    <row r="836">
      <c r="A836" t="inlineStr">
        <is>
          <t>LANTHANE</t>
        </is>
      </c>
      <c r="B836" t="inlineStr">
        <is>
          <t>7439-91-0</t>
        </is>
      </c>
      <c r="C836" s="1" t="n">
        <v>3347</v>
      </c>
      <c r="E836">
        <f>IFERROR(IF(_xlfn.XLOOKUP(#REF!, Tableau5[Code sandre], Tableau5[Code sandre],, 0) &lt;&gt; "", 1, ""), "")</f>
        <v/>
      </c>
    </row>
    <row r="837">
      <c r="A837" t="inlineStr">
        <is>
          <t>LENACIL</t>
        </is>
      </c>
      <c r="B837" t="inlineStr">
        <is>
          <t>2164-08-1</t>
        </is>
      </c>
      <c r="C837" s="1" t="n">
        <v>1406</v>
      </c>
      <c r="E837">
        <f>IFERROR(IF(_xlfn.XLOOKUP(#REF!, Tableau5[Code sandre], Tableau5[Code sandre],, 0) &lt;&gt; "", 1, ""), "")</f>
        <v/>
      </c>
    </row>
    <row r="838">
      <c r="A838" s="14" t="inlineStr">
        <is>
          <t>LENACILE_ST</t>
        </is>
      </c>
      <c r="C838" s="1" t="n">
        <v>1406</v>
      </c>
      <c r="E838">
        <f>IFERROR(IF(_xlfn.XLOOKUP(#REF!, Tableau5[Code sandre], Tableau5[Code sandre],, 0) &lt;&gt; "", 1, ""), "")</f>
        <v/>
      </c>
    </row>
    <row r="839">
      <c r="A839" t="inlineStr">
        <is>
          <t>LEVENORGESTREL</t>
        </is>
      </c>
      <c r="B839" t="inlineStr">
        <is>
          <t>797-63-7</t>
        </is>
      </c>
      <c r="C839" s="1" t="n">
        <v>6770</v>
      </c>
      <c r="E839">
        <f>IFERROR(IF(_xlfn.XLOOKUP(#REF!, Tableau5[Code sandre], Tableau5[Code sandre],, 0) &lt;&gt; "", 1, ""), "")</f>
        <v/>
      </c>
    </row>
    <row r="840">
      <c r="A840" t="inlineStr">
        <is>
          <t>LIDOCAINE</t>
        </is>
      </c>
      <c r="B840" t="inlineStr">
        <is>
          <t>137-58-6</t>
        </is>
      </c>
      <c r="C840" s="1" t="n">
        <v>8641</v>
      </c>
      <c r="E840">
        <f>IFERROR(IF(_xlfn.XLOOKUP(#REF!, Tableau5[Code sandre], Tableau5[Code sandre],, 0) &lt;&gt; "", 1, ""), "")</f>
        <v/>
      </c>
    </row>
    <row r="841">
      <c r="A841" t="inlineStr">
        <is>
          <t>LIMONENE</t>
        </is>
      </c>
      <c r="B841" t="inlineStr">
        <is>
          <t>138-86-3</t>
        </is>
      </c>
      <c r="C841" s="1" t="n">
        <v>5279</v>
      </c>
      <c r="E841">
        <f>IFERROR(IF(_xlfn.XLOOKUP(#REF!, Tableau5[Code sandre], Tableau5[Code sandre],, 0) &lt;&gt; "", 1, ""), "")</f>
        <v/>
      </c>
    </row>
    <row r="842">
      <c r="A842" t="inlineStr">
        <is>
          <t>LINDANE</t>
        </is>
      </c>
      <c r="B842" t="inlineStr">
        <is>
          <t>58-89-9</t>
        </is>
      </c>
      <c r="C842" s="1" t="n">
        <v>1203</v>
      </c>
      <c r="D842" t="inlineStr">
        <is>
          <t>NH4</t>
        </is>
      </c>
      <c r="E842">
        <f>IFERROR(IF(_xlfn.XLOOKUP(#REF!, Tableau5[Code sandre], Tableau5[Code sandre],, 0) &lt;&gt; "", 1, ""), "")</f>
        <v/>
      </c>
    </row>
    <row r="843">
      <c r="A843" t="inlineStr">
        <is>
          <t>LINURON</t>
        </is>
      </c>
      <c r="B843" t="inlineStr">
        <is>
          <t>330-55-2</t>
        </is>
      </c>
      <c r="C843" s="1" t="n">
        <v>1209</v>
      </c>
      <c r="D843" t="inlineStr">
        <is>
          <t>NH4</t>
        </is>
      </c>
      <c r="E843">
        <f>IFERROR(IF(_xlfn.XLOOKUP(#REF!, Tableau5[Code sandre], Tableau5[Code sandre],, 0) &lt;&gt; "", 1, ""), "")</f>
        <v/>
      </c>
    </row>
    <row r="844">
      <c r="A844" t="inlineStr">
        <is>
          <t>LITHIUM</t>
        </is>
      </c>
      <c r="C844" s="1" t="n">
        <v>1364</v>
      </c>
      <c r="E844">
        <f>IFERROR(IF(_xlfn.XLOOKUP(#REF!, Tableau5[Code sandre], Tableau5[Code sandre],, 0) &lt;&gt; "", 1, ""), "")</f>
        <v/>
      </c>
    </row>
    <row r="845">
      <c r="A845" t="inlineStr">
        <is>
          <t>LOSARTAN</t>
        </is>
      </c>
      <c r="B845" t="inlineStr">
        <is>
          <t>114798-26-4</t>
        </is>
      </c>
      <c r="C845" s="1" t="n">
        <v>6699</v>
      </c>
      <c r="E845">
        <f>IFERROR(IF(_xlfn.XLOOKUP(#REF!, Tableau5[Code sandre], Tableau5[Code sandre],, 0) &lt;&gt; "", 1, ""), "")</f>
        <v/>
      </c>
    </row>
    <row r="846">
      <c r="A846" t="inlineStr">
        <is>
          <t>M_ET_P-XYLENES</t>
        </is>
      </c>
      <c r="B846" t="inlineStr">
        <is>
          <t>1330-20-7</t>
        </is>
      </c>
      <c r="C846" s="1" t="n">
        <v>2925</v>
      </c>
      <c r="E846">
        <f>IFERROR(IF(_xlfn.XLOOKUP(#REF!, Tableau5[Code sandre], Tableau5[Code sandre],, 0) &lt;&gt; "", 1, ""), "")</f>
        <v/>
      </c>
    </row>
    <row r="847">
      <c r="A847" t="inlineStr">
        <is>
          <t>MAGNESIUM</t>
        </is>
      </c>
      <c r="C847" s="1" t="n">
        <v>1372</v>
      </c>
      <c r="E847">
        <f>IFERROR(IF(_xlfn.XLOOKUP(#REF!, Tableau5[Code sandre], Tableau5[Code sandre],, 0) &lt;&gt; "", 1, ""), "")</f>
        <v/>
      </c>
    </row>
    <row r="848">
      <c r="A848" t="inlineStr">
        <is>
          <t>MALATHION</t>
        </is>
      </c>
      <c r="B848" t="inlineStr">
        <is>
          <t>121-75-5</t>
        </is>
      </c>
      <c r="C848" s="1" t="n">
        <v>1210</v>
      </c>
      <c r="E848">
        <f>IFERROR(IF(_xlfn.XLOOKUP(#REF!, Tableau5[Code sandre], Tableau5[Code sandre],, 0) &lt;&gt; "", 1, ""), "")</f>
        <v/>
      </c>
    </row>
    <row r="849">
      <c r="A849" t="inlineStr">
        <is>
          <t>MANDIPROPAMIDE</t>
        </is>
      </c>
      <c r="B849" t="inlineStr">
        <is>
          <t>374726-62-2</t>
        </is>
      </c>
      <c r="C849" s="1" t="n">
        <v>6399</v>
      </c>
      <c r="E849">
        <f>IFERROR(IF(_xlfn.XLOOKUP(#REF!, Tableau5[Code sandre], Tableau5[Code sandre],, 0) &lt;&gt; "", 1, ""), "")</f>
        <v/>
      </c>
    </row>
    <row r="850">
      <c r="A850" t="inlineStr">
        <is>
          <t>MANGANESE</t>
        </is>
      </c>
      <c r="C850" s="1" t="n">
        <v>1394</v>
      </c>
      <c r="E850">
        <f>IFERROR(IF(_xlfn.XLOOKUP(#REF!, Tableau5[Code sandre], Tableau5[Code sandre],, 0) &lt;&gt; "", 1, ""), "")</f>
        <v/>
      </c>
    </row>
    <row r="851">
      <c r="A851" t="inlineStr">
        <is>
          <t>MATIERES_DECANTABLES_2H</t>
        </is>
      </c>
      <c r="C851" s="1" t="n">
        <v>1025</v>
      </c>
      <c r="E851">
        <f>IFERROR(IF(_xlfn.XLOOKUP(#REF!, Tableau5[Code sandre], Tableau5[Code sandre],, 0) &lt;&gt; "", 1, ""), "")</f>
        <v/>
      </c>
    </row>
    <row r="852">
      <c r="A852" t="inlineStr">
        <is>
          <t>MATIERES_MINERALES_EN_SUSPENSION</t>
        </is>
      </c>
      <c r="C852" s="1" t="n">
        <v>1011</v>
      </c>
      <c r="E852">
        <f>IFERROR(IF(_xlfn.XLOOKUP(#REF!, Tableau5[Code sandre], Tableau5[Code sandre],, 0) &lt;&gt; "", 1, ""), "")</f>
        <v/>
      </c>
    </row>
    <row r="853">
      <c r="A853" t="inlineStr">
        <is>
          <t>MATIERES_VOLATILES_200</t>
        </is>
      </c>
      <c r="C853" s="1" t="n">
        <v>1032</v>
      </c>
      <c r="E853">
        <f>IFERROR(IF(_xlfn.XLOOKUP(#REF!, Tableau5[Code sandre], Tableau5[Code sandre],, 0) &lt;&gt; "", 1, ""), "")</f>
        <v/>
      </c>
    </row>
    <row r="854">
      <c r="A854" t="inlineStr">
        <is>
          <t>MCPP_TOTAL_ET_MCPP-P</t>
        </is>
      </c>
      <c r="C854" t="n">
        <v>1214</v>
      </c>
      <c r="E854">
        <f>IFERROR(IF(_xlfn.XLOOKUP(#REF!, Tableau5[Code sandre], Tableau5[Code sandre],, 0) &lt;&gt; "", 1, ""), "")</f>
        <v/>
      </c>
    </row>
    <row r="855">
      <c r="A855" t="inlineStr">
        <is>
          <t>M-CRESOL</t>
        </is>
      </c>
      <c r="B855" t="inlineStr">
        <is>
          <t>108-39-4</t>
        </is>
      </c>
      <c r="C855" s="1" t="n">
        <v>1639</v>
      </c>
      <c r="E855">
        <f>IFERROR(IF(_xlfn.XLOOKUP(#REF!, Tableau5[Code sandre], Tableau5[Code sandre],, 0) &lt;&gt; "", 1, ""), "")</f>
        <v/>
      </c>
    </row>
    <row r="856">
      <c r="A856" t="inlineStr">
        <is>
          <t>MEC</t>
        </is>
      </c>
      <c r="B856" t="inlineStr">
        <is>
          <t>78-93-3</t>
        </is>
      </c>
      <c r="C856" s="1" t="n">
        <v>1514</v>
      </c>
      <c r="E856">
        <f>IFERROR(IF(_xlfn.XLOOKUP(#REF!, Tableau5[Code sandre], Tableau5[Code sandre],, 0) &lt;&gt; "", 1, ""), "")</f>
        <v/>
      </c>
    </row>
    <row r="857">
      <c r="A857" t="inlineStr">
        <is>
          <t>MECOPROP</t>
        </is>
      </c>
      <c r="B857" t="inlineStr">
        <is>
          <t>93-65-2</t>
        </is>
      </c>
      <c r="C857" s="1" t="n">
        <v>1214</v>
      </c>
      <c r="E857">
        <f>IFERROR(IF(_xlfn.XLOOKUP(#REF!, Tableau5[Code sandre], Tableau5[Code sandre],, 0) &lt;&gt; "", 1, ""), "")</f>
        <v/>
      </c>
    </row>
    <row r="858">
      <c r="A858" t="inlineStr">
        <is>
          <t>MEFENPYR-DIETHYL</t>
        </is>
      </c>
      <c r="B858" t="inlineStr">
        <is>
          <t>135590-91-9</t>
        </is>
      </c>
      <c r="C858" s="1" t="n">
        <v>2930</v>
      </c>
      <c r="E858">
        <f>IFERROR(IF(_xlfn.XLOOKUP(#REF!, Tableau5[Code sandre], Tableau5[Code sandre],, 0) &lt;&gt; "", 1, ""), "")</f>
        <v/>
      </c>
    </row>
    <row r="859">
      <c r="A859" t="inlineStr">
        <is>
          <t>MEPANIPYRIM</t>
        </is>
      </c>
      <c r="B859" t="inlineStr">
        <is>
          <t>110235-47-7</t>
        </is>
      </c>
      <c r="C859" s="1" t="n">
        <v>5533</v>
      </c>
      <c r="E859">
        <f>IFERROR(IF(_xlfn.XLOOKUP(#REF!, Tableau5[Code sandre], Tableau5[Code sandre],, 0) &lt;&gt; "", 1, ""), "")</f>
        <v/>
      </c>
    </row>
    <row r="860">
      <c r="A860" t="inlineStr">
        <is>
          <t>MEPIQUAT</t>
        </is>
      </c>
      <c r="B860" t="inlineStr">
        <is>
          <t>15302-91-7</t>
        </is>
      </c>
      <c r="C860" s="1" t="n">
        <v>1969</v>
      </c>
      <c r="E860">
        <f>IFERROR(IF(_xlfn.XLOOKUP(#REF!, Tableau5[Code sandre], Tableau5[Code sandre],, 0) &lt;&gt; "", 1, ""), "")</f>
        <v/>
      </c>
    </row>
    <row r="861">
      <c r="A861" t="inlineStr">
        <is>
          <t>MEPIVACAINE</t>
        </is>
      </c>
      <c r="B861" t="inlineStr">
        <is>
          <t>96-88-8</t>
        </is>
      </c>
      <c r="C861" s="1" t="n">
        <v>6521</v>
      </c>
      <c r="E861">
        <f>IFERROR(IF(_xlfn.XLOOKUP(#REF!, Tableau5[Code sandre], Tableau5[Code sandre],, 0) &lt;&gt; "", 1, ""), "")</f>
        <v/>
      </c>
    </row>
    <row r="862">
      <c r="A862" t="inlineStr">
        <is>
          <t>MERCAPTODIMETHUR</t>
        </is>
      </c>
      <c r="B862" t="inlineStr">
        <is>
          <t>2032-65-7</t>
        </is>
      </c>
      <c r="C862" s="1" t="n">
        <v>1510</v>
      </c>
      <c r="E862">
        <f>IFERROR(IF(_xlfn.XLOOKUP(#REF!, Tableau5[Code sandre], Tableau5[Code sandre],, 0) &lt;&gt; "", 1, ""), "")</f>
        <v/>
      </c>
    </row>
    <row r="863">
      <c r="A863" t="inlineStr">
        <is>
          <t>MERCURE</t>
        </is>
      </c>
      <c r="C863" s="1" t="n">
        <v>1387</v>
      </c>
      <c r="E863">
        <f>IFERROR(IF(_xlfn.XLOOKUP(#REF!, Tableau5[Code sandre], Tableau5[Code sandre],, 0) &lt;&gt; "", 1, ""), "")</f>
        <v/>
      </c>
    </row>
    <row r="864">
      <c r="A864" t="inlineStr">
        <is>
          <t>MES</t>
        </is>
      </c>
      <c r="B864" t="inlineStr">
        <is>
          <t>1132-61-2</t>
        </is>
      </c>
      <c r="C864" s="1" t="n">
        <v>1305</v>
      </c>
      <c r="D864" t="inlineStr">
        <is>
          <t>ALCL</t>
        </is>
      </c>
      <c r="E864">
        <f>IFERROR(IF(_xlfn.XLOOKUP(#REF!, Tableau5[Code sandre], Tableau5[Code sandre],, 0) &lt;&gt; "", 1, ""), "")</f>
        <v/>
      </c>
    </row>
    <row r="865">
      <c r="A865" t="inlineStr">
        <is>
          <t>MESOSULFURON_METHYL</t>
        </is>
      </c>
      <c r="B865" t="inlineStr">
        <is>
          <t>208465-21-8</t>
        </is>
      </c>
      <c r="C865" s="1" t="n">
        <v>2578</v>
      </c>
      <c r="D865" t="inlineStr">
        <is>
          <t>ANTXA</t>
        </is>
      </c>
      <c r="E865">
        <f>IFERROR(IF(_xlfn.XLOOKUP(#REF!, Tableau5[Code sandre], Tableau5[Code sandre],, 0) &lt;&gt; "", 1, ""), "")</f>
        <v/>
      </c>
    </row>
    <row r="866">
      <c r="A866" t="inlineStr">
        <is>
          <t>MESOTRIONE</t>
        </is>
      </c>
      <c r="B866" t="inlineStr">
        <is>
          <t>104206-82-8</t>
        </is>
      </c>
      <c r="C866" s="1" t="n">
        <v>2076</v>
      </c>
      <c r="E866">
        <f>IFERROR(IF(_xlfn.XLOOKUP(#REF!, Tableau5[Code sandre], Tableau5[Code sandre],, 0) &lt;&gt; "", 1, ""), "")</f>
        <v/>
      </c>
    </row>
    <row r="867">
      <c r="A867" t="inlineStr">
        <is>
          <t>METALAXYL</t>
        </is>
      </c>
      <c r="B867" t="inlineStr">
        <is>
          <t>57837-19-1</t>
        </is>
      </c>
      <c r="C867" s="1" t="n">
        <v>1706</v>
      </c>
      <c r="E867">
        <f>IFERROR(IF(_xlfn.XLOOKUP(#REF!, Tableau5[Code sandre], Tableau5[Code sandre],, 0) &lt;&gt; "", 1, ""), "")</f>
        <v/>
      </c>
    </row>
    <row r="868">
      <c r="A868" t="inlineStr">
        <is>
          <t>METALAXYL_CGA108906</t>
        </is>
      </c>
      <c r="B868" t="inlineStr">
        <is>
          <t>104390-56-9</t>
        </is>
      </c>
      <c r="C868" s="1" t="n">
        <v>7896</v>
      </c>
      <c r="E868">
        <f>IFERROR(IF(_xlfn.XLOOKUP(#REF!, Tableau5[Code sandre], Tableau5[Code sandre],, 0) &lt;&gt; "", 1, ""), "")</f>
        <v/>
      </c>
    </row>
    <row r="869">
      <c r="A869" t="inlineStr">
        <is>
          <t>METALDEHYDE</t>
        </is>
      </c>
      <c r="B869" t="inlineStr">
        <is>
          <t>108-62-3</t>
        </is>
      </c>
      <c r="C869" s="1" t="n">
        <v>1796</v>
      </c>
      <c r="E869">
        <f>IFERROR(IF(_xlfn.XLOOKUP(#REF!, Tableau5[Code sandre], Tableau5[Code sandre],, 0) &lt;&gt; "", 1, ""), "")</f>
        <v/>
      </c>
    </row>
    <row r="870">
      <c r="A870" t="inlineStr">
        <is>
          <t>METALDEHYDE_ST</t>
        </is>
      </c>
      <c r="C870" s="1" t="n">
        <v>1796</v>
      </c>
      <c r="E870">
        <f>IFERROR(IF(_xlfn.XLOOKUP(#REF!, Tableau5[Code sandre], Tableau5[Code sandre],, 0) &lt;&gt; "", 1, ""), "")</f>
        <v/>
      </c>
    </row>
    <row r="871">
      <c r="A871" t="inlineStr">
        <is>
          <t>METAMITRONE</t>
        </is>
      </c>
      <c r="B871" t="inlineStr">
        <is>
          <t>41394-05-2</t>
        </is>
      </c>
      <c r="C871" s="1" t="n">
        <v>1215</v>
      </c>
      <c r="D871" t="inlineStr">
        <is>
          <t>ADET2</t>
        </is>
      </c>
      <c r="E871">
        <f>IFERROR(IF(_xlfn.XLOOKUP(#REF!, Tableau5[Code sandre], Tableau5[Code sandre],, 0) &lt;&gt; "", 1, ""), "")</f>
        <v/>
      </c>
    </row>
    <row r="872">
      <c r="A872" t="inlineStr">
        <is>
          <t>METAZACHLORE</t>
        </is>
      </c>
      <c r="B872" t="inlineStr">
        <is>
          <t>67129-08-2</t>
        </is>
      </c>
      <c r="C872" s="1" t="n">
        <v>1670</v>
      </c>
      <c r="D872" t="inlineStr">
        <is>
          <t>ADETD</t>
        </is>
      </c>
      <c r="E872">
        <f>IFERROR(IF(_xlfn.XLOOKUP(#REF!, Tableau5[Code sandre], Tableau5[Code sandre],, 0) &lt;&gt; "", 1, ""), "")</f>
        <v/>
      </c>
    </row>
    <row r="873">
      <c r="A873" t="inlineStr">
        <is>
          <t>METAZACHLORE_ESA</t>
        </is>
      </c>
      <c r="B873" t="inlineStr">
        <is>
          <t>172960-62-2</t>
        </is>
      </c>
      <c r="C873" s="1" t="n">
        <v>6895</v>
      </c>
      <c r="E873">
        <f>IFERROR(IF(_xlfn.XLOOKUP(#REF!, Tableau5[Code sandre], Tableau5[Code sandre],, 0) &lt;&gt; "", 1, ""), "")</f>
        <v/>
      </c>
    </row>
    <row r="874">
      <c r="A874" t="inlineStr">
        <is>
          <t>METAZACHLORE_OXA</t>
        </is>
      </c>
      <c r="B874" t="inlineStr">
        <is>
          <t>1231244-60-2</t>
        </is>
      </c>
      <c r="C874" s="1" t="n">
        <v>6894</v>
      </c>
      <c r="E874">
        <f>IFERROR(IF(_xlfn.XLOOKUP(#REF!, Tableau5[Code sandre], Tableau5[Code sandre],, 0) &lt;&gt; "", 1, ""), "")</f>
        <v/>
      </c>
    </row>
    <row r="875">
      <c r="A875" t="inlineStr">
        <is>
          <t>METAZACHLORE_ST</t>
        </is>
      </c>
      <c r="C875" s="1" t="n">
        <v>1670</v>
      </c>
      <c r="E875">
        <f>IFERROR(IF(_xlfn.XLOOKUP(#REF!, Tableau5[Code sandre], Tableau5[Code sandre],, 0) &lt;&gt; "", 1, ""), "")</f>
        <v/>
      </c>
    </row>
    <row r="876">
      <c r="A876" t="inlineStr">
        <is>
          <t>METCONAZOLE</t>
        </is>
      </c>
      <c r="B876" t="inlineStr">
        <is>
          <t>125116-23-6</t>
        </is>
      </c>
      <c r="C876" s="1" t="n">
        <v>1879</v>
      </c>
      <c r="E876">
        <f>IFERROR(IF(_xlfn.XLOOKUP(#REF!, Tableau5[Code sandre], Tableau5[Code sandre],, 0) &lt;&gt; "", 1, ""), "")</f>
        <v/>
      </c>
    </row>
    <row r="877">
      <c r="A877" t="inlineStr">
        <is>
          <t>METFORMINE</t>
        </is>
      </c>
      <c r="B877" t="inlineStr">
        <is>
          <t>657-24-9</t>
        </is>
      </c>
      <c r="C877" s="1" t="n">
        <v>6755</v>
      </c>
      <c r="E877">
        <f>IFERROR(IF(_xlfn.XLOOKUP(#REF!, Tableau5[Code sandre], Tableau5[Code sandre],, 0) &lt;&gt; "", 1, ""), "")</f>
        <v/>
      </c>
    </row>
    <row r="878">
      <c r="A878" t="inlineStr">
        <is>
          <t>METHABENZTHIAZURON</t>
        </is>
      </c>
      <c r="B878" t="inlineStr">
        <is>
          <t>18691-97-9</t>
        </is>
      </c>
      <c r="C878" s="1" t="n">
        <v>1216</v>
      </c>
      <c r="E878">
        <f>IFERROR(IF(_xlfn.XLOOKUP(#REF!, Tableau5[Code sandre], Tableau5[Code sandre],, 0) &lt;&gt; "", 1, ""), "")</f>
        <v/>
      </c>
    </row>
    <row r="879">
      <c r="A879" t="inlineStr">
        <is>
          <t>METHANOL</t>
        </is>
      </c>
      <c r="B879" t="inlineStr">
        <is>
          <t>67-56-1</t>
        </is>
      </c>
      <c r="C879" s="1" t="n">
        <v>2052</v>
      </c>
      <c r="E879">
        <f>IFERROR(IF(_xlfn.XLOOKUP(#REF!, Tableau5[Code sandre], Tableau5[Code sandre],, 0) &lt;&gt; "", 1, ""), "")</f>
        <v/>
      </c>
    </row>
    <row r="880">
      <c r="A880" t="inlineStr">
        <is>
          <t>METHIDATHION</t>
        </is>
      </c>
      <c r="B880" t="inlineStr">
        <is>
          <t>950-37-8</t>
        </is>
      </c>
      <c r="C880" s="1" t="n">
        <v>1217</v>
      </c>
      <c r="E880">
        <f>IFERROR(IF(_xlfn.XLOOKUP(#REF!, Tableau5[Code sandre], Tableau5[Code sandre],, 0) &lt;&gt; "", 1, ""), "")</f>
        <v/>
      </c>
    </row>
    <row r="881">
      <c r="A881" t="inlineStr">
        <is>
          <t>METHIOCARBE</t>
        </is>
      </c>
      <c r="B881" t="inlineStr">
        <is>
          <t>2032-65-7</t>
        </is>
      </c>
      <c r="C881" s="1" t="n">
        <v>1510</v>
      </c>
      <c r="E881">
        <f>IFERROR(IF(_xlfn.XLOOKUP(#REF!, Tableau5[Code sandre], Tableau5[Code sandre],, 0) &lt;&gt; "", 1, ""), "")</f>
        <v/>
      </c>
    </row>
    <row r="882">
      <c r="A882" t="inlineStr">
        <is>
          <t>METHOMYL</t>
        </is>
      </c>
      <c r="B882" t="inlineStr">
        <is>
          <t>16752-77-5</t>
        </is>
      </c>
      <c r="C882" s="1" t="n">
        <v>1218</v>
      </c>
      <c r="E882">
        <f>IFERROR(IF(_xlfn.XLOOKUP(#REF!, Tableau5[Code sandre], Tableau5[Code sandre],, 0) &lt;&gt; "", 1, ""), "")</f>
        <v/>
      </c>
    </row>
    <row r="883">
      <c r="A883" t="inlineStr">
        <is>
          <t>METHOPRENE</t>
        </is>
      </c>
      <c r="B883" t="inlineStr">
        <is>
          <t>40596-69-8</t>
        </is>
      </c>
      <c r="C883" s="1" t="n">
        <v>5653</v>
      </c>
      <c r="E883">
        <f>IFERROR(IF(_xlfn.XLOOKUP(#REF!, Tableau5[Code sandre], Tableau5[Code sandre],, 0) &lt;&gt; "", 1, ""), "")</f>
        <v/>
      </c>
    </row>
    <row r="884">
      <c r="A884" t="inlineStr">
        <is>
          <t>METHOTREXATE</t>
        </is>
      </c>
      <c r="B884" t="inlineStr">
        <is>
          <t>59-05-2</t>
        </is>
      </c>
      <c r="C884" s="1" t="n">
        <v>6793</v>
      </c>
      <c r="E884">
        <f>IFERROR(IF(_xlfn.XLOOKUP(#REF!, Tableau5[Code sandre], Tableau5[Code sandre],, 0) &lt;&gt; "", 1, ""), "")</f>
        <v/>
      </c>
    </row>
    <row r="885">
      <c r="A885" t="inlineStr">
        <is>
          <t>METHOXYCHLORE</t>
        </is>
      </c>
      <c r="B885" t="inlineStr">
        <is>
          <t>72-43-5</t>
        </is>
      </c>
      <c r="C885" s="1" t="n">
        <v>1511</v>
      </c>
      <c r="E885">
        <f>IFERROR(IF(_xlfn.XLOOKUP(#REF!, Tableau5[Code sandre], Tableau5[Code sandre],, 0) &lt;&gt; "", 1, ""), "")</f>
        <v/>
      </c>
    </row>
    <row r="886">
      <c r="A886" t="inlineStr">
        <is>
          <t>METHOXYPROPANOL</t>
        </is>
      </c>
      <c r="B886" t="inlineStr">
        <is>
          <t>107-98-2</t>
        </is>
      </c>
      <c r="C886" s="1" t="n">
        <v>5519</v>
      </c>
      <c r="E886">
        <f>IFERROR(IF(_xlfn.XLOOKUP(#REF!, Tableau5[Code sandre], Tableau5[Code sandre],, 0) &lt;&gt; "", 1, ""), "")</f>
        <v/>
      </c>
    </row>
    <row r="887">
      <c r="A887" t="inlineStr">
        <is>
          <t>METHYL_PARABENE</t>
        </is>
      </c>
      <c r="B887" t="inlineStr">
        <is>
          <t>99-76-3</t>
        </is>
      </c>
      <c r="C887" s="1" t="n">
        <v>6695</v>
      </c>
      <c r="E887">
        <f>IFERROR(IF(_xlfn.XLOOKUP(#REF!, Tableau5[Code sandre], Tableau5[Code sandre],, 0) &lt;&gt; "", 1, ""), "")</f>
        <v/>
      </c>
    </row>
    <row r="888">
      <c r="A888" t="inlineStr">
        <is>
          <t>METHYLACRYLATE</t>
        </is>
      </c>
      <c r="B888" t="inlineStr">
        <is>
          <t>96-33-3</t>
        </is>
      </c>
      <c r="C888" s="1" t="n">
        <v>2707</v>
      </c>
      <c r="E888">
        <f>IFERROR(IF(_xlfn.XLOOKUP(#REF!, Tableau5[Code sandre], Tableau5[Code sandre],, 0) &lt;&gt; "", 1, ""), "")</f>
        <v/>
      </c>
    </row>
    <row r="889">
      <c r="A889" t="inlineStr">
        <is>
          <t>METHYL-BENZOTRIAZOLE</t>
        </is>
      </c>
      <c r="B889" t="inlineStr">
        <is>
          <t>136-85-6</t>
        </is>
      </c>
      <c r="C889" s="1" t="n">
        <v>7891</v>
      </c>
      <c r="E889">
        <f>IFERROR(IF(_xlfn.XLOOKUP(#REF!, Tableau5[Code sandre], Tableau5[Code sandre],, 0) &lt;&gt; "", 1, ""), "")</f>
        <v/>
      </c>
    </row>
    <row r="890">
      <c r="A890" t="inlineStr">
        <is>
          <t>METHYLCYCLOHEXANE_MCH</t>
        </is>
      </c>
      <c r="B890" t="inlineStr">
        <is>
          <t>108-87-2</t>
        </is>
      </c>
      <c r="C890" s="1" t="n">
        <v>5506</v>
      </c>
      <c r="E890">
        <f>IFERROR(IF(_xlfn.XLOOKUP(#REF!, Tableau5[Code sandre], Tableau5[Code sandre],, 0) &lt;&gt; "", 1, ""), "")</f>
        <v/>
      </c>
    </row>
    <row r="891">
      <c r="A891" t="inlineStr">
        <is>
          <t>METHYLETHYLCETONE</t>
        </is>
      </c>
      <c r="B891" t="inlineStr">
        <is>
          <t>78-93-3</t>
        </is>
      </c>
      <c r="C891" s="1" t="n">
        <v>1514</v>
      </c>
      <c r="E891">
        <f>IFERROR(IF(_xlfn.XLOOKUP(#REF!, Tableau5[Code sandre], Tableau5[Code sandre],, 0) &lt;&gt; "", 1, ""), "")</f>
        <v/>
      </c>
    </row>
    <row r="892">
      <c r="A892" t="inlineStr">
        <is>
          <t>METHYLISOBUTYLCETONE</t>
        </is>
      </c>
      <c r="B892" t="inlineStr">
        <is>
          <t>108-10-1</t>
        </is>
      </c>
      <c r="C892" s="1" t="n">
        <v>1508</v>
      </c>
      <c r="E892">
        <f>IFERROR(IF(_xlfn.XLOOKUP(#REF!, Tableau5[Code sandre], Tableau5[Code sandre],, 0) &lt;&gt; "", 1, ""), "")</f>
        <v/>
      </c>
    </row>
    <row r="893">
      <c r="A893" t="inlineStr">
        <is>
          <t>METHYLMETHACRYLATE</t>
        </is>
      </c>
      <c r="B893" t="inlineStr">
        <is>
          <t>80-62-6</t>
        </is>
      </c>
      <c r="C893" s="1" t="n">
        <v>2723</v>
      </c>
      <c r="E893">
        <f>IFERROR(IF(_xlfn.XLOOKUP(#REF!, Tableau5[Code sandre], Tableau5[Code sandre],, 0) &lt;&gt; "", 1, ""), "")</f>
        <v/>
      </c>
    </row>
    <row r="894">
      <c r="A894" t="inlineStr">
        <is>
          <t>M-ETHYLTOLUENE</t>
        </is>
      </c>
      <c r="B894" t="inlineStr">
        <is>
          <t>620-14-4</t>
        </is>
      </c>
      <c r="C894" s="1" t="n">
        <v>3350</v>
      </c>
      <c r="E894">
        <f>IFERROR(IF(_xlfn.XLOOKUP(#REF!, Tableau5[Code sandre], Tableau5[Code sandre],, 0) &lt;&gt; "", 1, ""), "")</f>
        <v/>
      </c>
    </row>
    <row r="895">
      <c r="A895" t="inlineStr">
        <is>
          <t>METOBROMURON</t>
        </is>
      </c>
      <c r="B895" t="inlineStr">
        <is>
          <t>3060-89-7</t>
        </is>
      </c>
      <c r="C895" s="1" t="n">
        <v>1515</v>
      </c>
      <c r="E895">
        <f>IFERROR(IF(_xlfn.XLOOKUP(#REF!, Tableau5[Code sandre], Tableau5[Code sandre],, 0) &lt;&gt; "", 1, ""), "")</f>
        <v/>
      </c>
    </row>
    <row r="896">
      <c r="A896" t="inlineStr">
        <is>
          <t>METOLACHLORE</t>
        </is>
      </c>
      <c r="B896" t="inlineStr">
        <is>
          <t>51218-45-2</t>
        </is>
      </c>
      <c r="C896" s="1" t="n">
        <v>1221</v>
      </c>
      <c r="E896">
        <f>IFERROR(IF(_xlfn.XLOOKUP(#REF!, Tableau5[Code sandre], Tableau5[Code sandre],, 0) &lt;&gt; "", 1, ""), "")</f>
        <v/>
      </c>
    </row>
    <row r="897">
      <c r="A897" t="inlineStr">
        <is>
          <t>METOLACHLORE_CGA357704</t>
        </is>
      </c>
      <c r="B897" t="inlineStr">
        <is>
          <t>1217465-10-5</t>
        </is>
      </c>
      <c r="C897" s="1" t="n">
        <v>7731</v>
      </c>
      <c r="E897">
        <f>IFERROR(IF(_xlfn.XLOOKUP(#REF!, Tableau5[Code sandre], Tableau5[Code sandre],, 0) &lt;&gt; "", 1, ""), "")</f>
        <v/>
      </c>
    </row>
    <row r="898">
      <c r="A898" t="inlineStr">
        <is>
          <t>METOLACHLORE_CGA368208</t>
        </is>
      </c>
      <c r="B898" t="inlineStr">
        <is>
          <t>1173021-76-5</t>
        </is>
      </c>
      <c r="C898" s="1" t="n">
        <v>7730</v>
      </c>
      <c r="E898">
        <f>IFERROR(IF(_xlfn.XLOOKUP(#REF!, Tableau5[Code sandre], Tableau5[Code sandre],, 0) &lt;&gt; "", 1, ""), "")</f>
        <v/>
      </c>
    </row>
    <row r="899">
      <c r="A899" t="inlineStr">
        <is>
          <t>METOLACHLORE_ESA</t>
        </is>
      </c>
      <c r="B899" t="inlineStr">
        <is>
          <t>171118-09-5</t>
        </is>
      </c>
      <c r="C899" s="1" t="n">
        <v>6854</v>
      </c>
      <c r="E899">
        <f>IFERROR(IF(_xlfn.XLOOKUP(#REF!, Tableau5[Code sandre], Tableau5[Code sandre],, 0) &lt;&gt; "", 1, ""), "")</f>
        <v/>
      </c>
    </row>
    <row r="900">
      <c r="A900" s="14" t="inlineStr">
        <is>
          <t>METOLACHLORE_ESA_ST</t>
        </is>
      </c>
      <c r="C900" s="1" t="n">
        <v>6854</v>
      </c>
      <c r="E900">
        <f>IFERROR(IF(_xlfn.XLOOKUP(#REF!, Tableau5[Code sandre], Tableau5[Code sandre],, 0) &lt;&gt; "", 1, ""), "")</f>
        <v/>
      </c>
    </row>
    <row r="901">
      <c r="A901" t="inlineStr">
        <is>
          <t>METOLACHLORE_NOA</t>
        </is>
      </c>
      <c r="B901" t="inlineStr">
        <is>
          <t xml:space="preserve"> 1418095-19-8</t>
        </is>
      </c>
      <c r="C901" s="1" t="n">
        <v>7729</v>
      </c>
      <c r="E901">
        <f>IFERROR(IF(_xlfn.XLOOKUP(#REF!, Tableau5[Code sandre], Tableau5[Code sandre],, 0) &lt;&gt; "", 1, ""), "")</f>
        <v/>
      </c>
    </row>
    <row r="902">
      <c r="A902" t="inlineStr">
        <is>
          <t>METOLACHLORE_OXA</t>
        </is>
      </c>
      <c r="B902" t="inlineStr">
        <is>
          <t>152019-73-3</t>
        </is>
      </c>
      <c r="C902" s="1" t="n">
        <v>6853</v>
      </c>
      <c r="E902">
        <f>IFERROR(IF(_xlfn.XLOOKUP(#REF!, Tableau5[Code sandre], Tableau5[Code sandre],, 0) &lt;&gt; "", 1, ""), "")</f>
        <v/>
      </c>
    </row>
    <row r="903">
      <c r="A903" s="14" t="inlineStr">
        <is>
          <t>METOLACHLORE_OXA_ST</t>
        </is>
      </c>
      <c r="C903" s="1" t="n">
        <v>6853</v>
      </c>
      <c r="E903">
        <f>IFERROR(IF(_xlfn.XLOOKUP(#REF!, Tableau5[Code sandre], Tableau5[Code sandre],, 0) &lt;&gt; "", 1, ""), "")</f>
        <v/>
      </c>
    </row>
    <row r="904">
      <c r="A904" s="14" t="inlineStr">
        <is>
          <t>METOPROLOL</t>
        </is>
      </c>
      <c r="B904" t="inlineStr">
        <is>
          <t>37350-58-6</t>
        </is>
      </c>
      <c r="C904" s="1" t="n">
        <v>5362</v>
      </c>
      <c r="D904" t="inlineStr">
        <is>
          <t>BISPHEN</t>
        </is>
      </c>
      <c r="E904">
        <f>IFERROR(IF(_xlfn.XLOOKUP(#REF!, Tableau5[Code sandre], Tableau5[Code sandre],, 0) &lt;&gt; "", 1, ""), "")</f>
        <v/>
      </c>
    </row>
    <row r="905">
      <c r="A905" s="14" t="inlineStr">
        <is>
          <t>METOSULAM</t>
        </is>
      </c>
      <c r="B905" t="inlineStr">
        <is>
          <t>139528-85-1</t>
        </is>
      </c>
      <c r="C905" s="1" t="n">
        <v>1912</v>
      </c>
      <c r="E905">
        <f>IFERROR(IF(_xlfn.XLOOKUP(#REF!, Tableau5[Code sandre], Tableau5[Code sandre],, 0) &lt;&gt; "", 1, ""), "")</f>
        <v/>
      </c>
    </row>
    <row r="906">
      <c r="A906" s="14" t="inlineStr">
        <is>
          <t>METOX</t>
        </is>
      </c>
      <c r="C906" s="1" t="n">
        <v>1037</v>
      </c>
      <c r="E906">
        <f>IFERROR(IF(_xlfn.XLOOKUP(#REF!, Tableau5[Code sandre], Tableau5[Code sandre],, 0) &lt;&gt; "", 1, ""), "")</f>
        <v/>
      </c>
    </row>
    <row r="907">
      <c r="A907" s="14" t="inlineStr">
        <is>
          <t>METOXURON</t>
        </is>
      </c>
      <c r="B907" t="inlineStr">
        <is>
          <t>19937-59-8</t>
        </is>
      </c>
      <c r="C907" s="1" t="n">
        <v>1222</v>
      </c>
      <c r="D907" t="inlineStr">
        <is>
          <t>BISPHEN</t>
        </is>
      </c>
      <c r="E907">
        <f>IFERROR(IF(_xlfn.XLOOKUP(#REF!, Tableau5[Code sandre], Tableau5[Code sandre],, 0) &lt;&gt; "", 1, ""), "")</f>
        <v/>
      </c>
    </row>
    <row r="908">
      <c r="A908" s="14" t="inlineStr">
        <is>
          <t>METRAFENONE</t>
        </is>
      </c>
      <c r="B908" t="inlineStr">
        <is>
          <t>220899-03-6</t>
        </is>
      </c>
      <c r="C908" s="1" t="n">
        <v>5654</v>
      </c>
      <c r="E908">
        <f>IFERROR(IF(_xlfn.XLOOKUP(#REF!, Tableau5[Code sandre], Tableau5[Code sandre],, 0) &lt;&gt; "", 1, ""), "")</f>
        <v/>
      </c>
    </row>
    <row r="909">
      <c r="A909" s="14" t="inlineStr">
        <is>
          <t>METRIBUZINE</t>
        </is>
      </c>
      <c r="B909" t="inlineStr">
        <is>
          <t>21087-64-9</t>
        </is>
      </c>
      <c r="C909" s="1" t="n">
        <v>1225</v>
      </c>
      <c r="E909">
        <f>IFERROR(IF(_xlfn.XLOOKUP(#REF!, Tableau5[Code sandre], Tableau5[Code sandre],, 0) &lt;&gt; "", 1, ""), "")</f>
        <v/>
      </c>
    </row>
    <row r="910">
      <c r="A910" s="14" t="inlineStr">
        <is>
          <t>METRONIDAZOLE</t>
        </is>
      </c>
      <c r="B910" t="inlineStr">
        <is>
          <t>443-48-1</t>
        </is>
      </c>
      <c r="C910" s="1" t="n">
        <v>6731</v>
      </c>
      <c r="E910">
        <f>IFERROR(IF(_xlfn.XLOOKUP(#REF!, Tableau5[Code sandre], Tableau5[Code sandre],, 0) &lt;&gt; "", 1, ""), "")</f>
        <v/>
      </c>
    </row>
    <row r="911">
      <c r="A911" s="14" t="inlineStr">
        <is>
          <t>METSULFURON_METHYL</t>
        </is>
      </c>
      <c r="B911" t="inlineStr">
        <is>
          <t>74223-64-6</t>
        </is>
      </c>
      <c r="C911" s="1" t="n">
        <v>1797</v>
      </c>
      <c r="D911" t="inlineStr">
        <is>
          <t>BMG</t>
        </is>
      </c>
      <c r="E911">
        <f>IFERROR(IF(_xlfn.XLOOKUP(#REF!, Tableau5[Code sandre], Tableau5[Code sandre],, 0) &lt;&gt; "", 1, ""), "")</f>
        <v/>
      </c>
    </row>
    <row r="912">
      <c r="A912" s="14" t="inlineStr">
        <is>
          <t>MEVIMPHOS</t>
        </is>
      </c>
      <c r="B912" t="inlineStr">
        <is>
          <t>7786-34-7</t>
        </is>
      </c>
      <c r="C912" s="1" t="n">
        <v>1226</v>
      </c>
      <c r="E912">
        <f>IFERROR(IF(_xlfn.XLOOKUP(#REF!, Tableau5[Code sandre], Tableau5[Code sandre],, 0) &lt;&gt; "", 1, ""), "")</f>
        <v/>
      </c>
    </row>
    <row r="913">
      <c r="A913" s="14" t="inlineStr">
        <is>
          <t>MICROCYSTINE_LR</t>
        </is>
      </c>
      <c r="B913" t="inlineStr">
        <is>
          <t>101043-37-2</t>
        </is>
      </c>
      <c r="C913" s="1" t="n">
        <v>2058</v>
      </c>
      <c r="E913">
        <f>IFERROR(IF(_xlfn.XLOOKUP(#REF!, Tableau5[Code sandre], Tableau5[Code sandre],, 0) &lt;&gt; "", 1, ""), "")</f>
        <v/>
      </c>
    </row>
    <row r="914">
      <c r="A914" s="14" t="inlineStr">
        <is>
          <t>MICROCYSTINE_RR</t>
        </is>
      </c>
      <c r="B914" t="inlineStr">
        <is>
          <t>111755-37-4</t>
        </is>
      </c>
      <c r="C914" s="1" t="n">
        <v>5490</v>
      </c>
      <c r="E914">
        <f>IFERROR(IF(_xlfn.XLOOKUP(#REF!, Tableau5[Code sandre], Tableau5[Code sandre],, 0) &lt;&gt; "", 1, ""), "")</f>
        <v/>
      </c>
    </row>
    <row r="915">
      <c r="A915" s="14" t="inlineStr">
        <is>
          <t>MICROCYSTINE_YR</t>
        </is>
      </c>
      <c r="B915" t="inlineStr">
        <is>
          <t>101064-48-6</t>
        </is>
      </c>
      <c r="C915" s="1" t="n">
        <v>5489</v>
      </c>
      <c r="E915">
        <f>IFERROR(IF(_xlfn.XLOOKUP(#REF!, Tableau5[Code sandre], Tableau5[Code sandre],, 0) &lt;&gt; "", 1, ""), "")</f>
        <v/>
      </c>
    </row>
    <row r="916">
      <c r="A916" s="14" t="inlineStr">
        <is>
          <t>MICROORGANISMES_REVIVIFIABLES_22°C</t>
        </is>
      </c>
      <c r="C916" s="1" t="n">
        <v>1040</v>
      </c>
      <c r="D916" t="inlineStr">
        <is>
          <t>ANTHRA</t>
        </is>
      </c>
      <c r="E916">
        <f>IFERROR(IF(_xlfn.XLOOKUP(#REF!, Tableau5[Code sandre], Tableau5[Code sandre],, 0) &lt;&gt; "", 1, ""), "")</f>
        <v/>
      </c>
    </row>
    <row r="917">
      <c r="A917" s="14" t="inlineStr">
        <is>
          <t>MICROORGANISMES_REVIVIFIABLES_36°C</t>
        </is>
      </c>
      <c r="C917" s="1" t="n">
        <v>1041</v>
      </c>
      <c r="D917" t="inlineStr">
        <is>
          <t>ANTHRA</t>
        </is>
      </c>
      <c r="E917">
        <f>IFERROR(IF(_xlfn.XLOOKUP(#REF!, Tableau5[Code sandre], Tableau5[Code sandre],, 0) &lt;&gt; "", 1, ""), "")</f>
        <v/>
      </c>
    </row>
    <row r="918">
      <c r="A918" s="14" t="inlineStr">
        <is>
          <t>MIREX</t>
        </is>
      </c>
      <c r="B918" t="inlineStr">
        <is>
          <t>2385-85-5</t>
        </is>
      </c>
      <c r="C918" s="1" t="n">
        <v>5438</v>
      </c>
      <c r="E918">
        <f>IFERROR(IF(_xlfn.XLOOKUP(#REF!, Tableau5[Code sandre], Tableau5[Code sandre],, 0) &lt;&gt; "", 1, ""), "")</f>
        <v/>
      </c>
    </row>
    <row r="919">
      <c r="A919" s="14" t="inlineStr">
        <is>
          <t>MOISISSURES</t>
        </is>
      </c>
      <c r="C919" s="1" t="n">
        <v>1067</v>
      </c>
      <c r="E919">
        <f>IFERROR(IF(_xlfn.XLOOKUP(#REF!, Tableau5[Code sandre], Tableau5[Code sandre],, 0) &lt;&gt; "", 1, ""), "")</f>
        <v/>
      </c>
    </row>
    <row r="920">
      <c r="A920" s="14" t="inlineStr">
        <is>
          <t>MOLINATE</t>
        </is>
      </c>
      <c r="B920" t="inlineStr">
        <is>
          <t>2212-67-1</t>
        </is>
      </c>
      <c r="C920" s="1" t="n">
        <v>1707</v>
      </c>
      <c r="E920">
        <f>IFERROR(IF(_xlfn.XLOOKUP(#REF!, Tableau5[Code sandre], Tableau5[Code sandre],, 0) &lt;&gt; "", 1, ""), "")</f>
        <v/>
      </c>
    </row>
    <row r="921">
      <c r="A921" s="14" t="inlineStr">
        <is>
          <t>MOLYBDENE</t>
        </is>
      </c>
      <c r="C921" s="1" t="n">
        <v>1395</v>
      </c>
      <c r="E921">
        <f>IFERROR(IF(_xlfn.XLOOKUP(#REF!, Tableau5[Code sandre], Tableau5[Code sandre],, 0) &lt;&gt; "", 1, ""), "")</f>
        <v/>
      </c>
    </row>
    <row r="922">
      <c r="A922" s="14" t="inlineStr">
        <is>
          <t>MONO-2-ETHYLHEXYL_PHTALATE</t>
        </is>
      </c>
      <c r="B922" t="inlineStr">
        <is>
          <t>117-81-7</t>
        </is>
      </c>
      <c r="C922" s="1" t="n">
        <v>1461</v>
      </c>
      <c r="E922">
        <f>IFERROR(IF(_xlfn.XLOOKUP(#REF!, Tableau5[Code sandre], Tableau5[Code sandre],, 0) &lt;&gt; "", 1, ""), "")</f>
        <v/>
      </c>
    </row>
    <row r="923">
      <c r="A923" s="14" t="inlineStr">
        <is>
          <t>MONOBUTYLETAIN_CATION</t>
        </is>
      </c>
      <c r="B923" t="inlineStr">
        <is>
          <t>78763-54-9</t>
        </is>
      </c>
      <c r="C923" s="1" t="n">
        <v>2542</v>
      </c>
      <c r="D923" t="inlineStr">
        <is>
          <t>BISPHEN</t>
        </is>
      </c>
      <c r="E923">
        <f>IFERROR(IF(_xlfn.XLOOKUP(#REF!, Tableau5[Code sandre], Tableau5[Code sandre],, 0) &lt;&gt; "", 1, ""), "")</f>
        <v/>
      </c>
    </row>
    <row r="924">
      <c r="A924" s="14" t="inlineStr">
        <is>
          <t>MONOBUTYLETAIN_CATION_ST</t>
        </is>
      </c>
      <c r="C924" s="1" t="n">
        <v>2542</v>
      </c>
      <c r="E924">
        <f>IFERROR(IF(_xlfn.XLOOKUP(#REF!, Tableau5[Code sandre], Tableau5[Code sandre],, 0) &lt;&gt; "", 1, ""), "")</f>
        <v/>
      </c>
    </row>
    <row r="925">
      <c r="A925" s="14" t="inlineStr">
        <is>
          <t>MONOCHLORODIBROMOMETHANE</t>
        </is>
      </c>
      <c r="B925" t="inlineStr">
        <is>
          <t>124-48-1</t>
        </is>
      </c>
      <c r="C925" s="1" t="n">
        <v>1158</v>
      </c>
      <c r="E925">
        <f>IFERROR(IF(_xlfn.XLOOKUP(#REF!, Tableau5[Code sandre], Tableau5[Code sandre],, 0) &lt;&gt; "", 1, ""), "")</f>
        <v/>
      </c>
    </row>
    <row r="926">
      <c r="A926" s="14" t="inlineStr">
        <is>
          <t>MONOLINURON</t>
        </is>
      </c>
      <c r="B926" t="inlineStr">
        <is>
          <t>1746-81-2</t>
        </is>
      </c>
      <c r="C926" s="1" t="n">
        <v>1227</v>
      </c>
      <c r="E926">
        <f>IFERROR(IF(_xlfn.XLOOKUP(#REF!, Tableau5[Code sandre], Tableau5[Code sandre],, 0) &lt;&gt; "", 1, ""), "")</f>
        <v/>
      </c>
    </row>
    <row r="927">
      <c r="A927" s="14" t="inlineStr">
        <is>
          <t>MONOPHENYLETAIN_CATION</t>
        </is>
      </c>
      <c r="C927" s="1" t="n">
        <v>7497</v>
      </c>
      <c r="E927">
        <f>IFERROR(IF(_xlfn.XLOOKUP(#REF!, Tableau5[Code sandre], Tableau5[Code sandre],, 0) &lt;&gt; "", 1, ""), "")</f>
        <v/>
      </c>
    </row>
    <row r="928">
      <c r="A928" s="14" t="inlineStr">
        <is>
          <t>MONURON</t>
        </is>
      </c>
      <c r="B928" t="inlineStr">
        <is>
          <t>150-68-5</t>
        </is>
      </c>
      <c r="C928" s="1" t="n">
        <v>1228</v>
      </c>
      <c r="E928">
        <f>IFERROR(IF(_xlfn.XLOOKUP(#REF!, Tableau5[Code sandre], Tableau5[Code sandre],, 0) &lt;&gt; "", 1, ""), "")</f>
        <v/>
      </c>
    </row>
    <row r="929">
      <c r="A929" s="14" t="inlineStr">
        <is>
          <t>MORPHOLINE</t>
        </is>
      </c>
      <c r="B929" t="inlineStr">
        <is>
          <t>110-91-8</t>
        </is>
      </c>
      <c r="C929" s="1" t="n">
        <v>7475</v>
      </c>
      <c r="E929">
        <f>IFERROR(IF(_xlfn.XLOOKUP(#REF!, Tableau5[Code sandre], Tableau5[Code sandre],, 0) &lt;&gt; "", 1, ""), "")</f>
        <v/>
      </c>
    </row>
    <row r="930">
      <c r="A930" s="14" t="inlineStr">
        <is>
          <t>MSHR_ACETONE_NI</t>
        </is>
      </c>
      <c r="B930" t="inlineStr">
        <is>
          <t>67-64-1</t>
        </is>
      </c>
      <c r="C930" s="1" t="n">
        <v>1455</v>
      </c>
      <c r="E930">
        <f>IFERROR(IF(_xlfn.XLOOKUP(#REF!, Tableau5[Code sandre], Tableau5[Code sandre],, 0) &lt;&gt; "", 1, ""), "")</f>
        <v/>
      </c>
    </row>
    <row r="931">
      <c r="A931" s="14" t="inlineStr">
        <is>
          <t>MSHR_DEP_NI</t>
        </is>
      </c>
      <c r="B931" t="inlineStr">
        <is>
          <t>84-66-2</t>
        </is>
      </c>
      <c r="C931" s="1" t="n">
        <v>1527</v>
      </c>
      <c r="E931">
        <f>IFERROR(IF(_xlfn.XLOOKUP(#REF!, Tableau5[Code sandre], Tableau5[Code sandre],, 0) &lt;&gt; "", 1, ""), "")</f>
        <v/>
      </c>
    </row>
    <row r="932">
      <c r="A932" s="14" t="inlineStr">
        <is>
          <t>MSHR_DIBP_NI</t>
        </is>
      </c>
      <c r="B932" t="inlineStr">
        <is>
          <t>84-69-5</t>
        </is>
      </c>
      <c r="C932" s="1" t="n">
        <v>5325</v>
      </c>
      <c r="E932">
        <f>IFERROR(IF(_xlfn.XLOOKUP(#REF!, Tableau5[Code sandre], Tableau5[Code sandre],, 0) &lt;&gt; "", 1, ""), "")</f>
        <v/>
      </c>
    </row>
    <row r="933">
      <c r="A933" s="14" t="inlineStr">
        <is>
          <t>MSHR_DMP_NI</t>
        </is>
      </c>
      <c r="B933" t="inlineStr">
        <is>
          <t>131-11-3</t>
        </is>
      </c>
      <c r="C933" s="1" t="n">
        <v>1489</v>
      </c>
      <c r="E933">
        <f>IFERROR(IF(_xlfn.XLOOKUP(#REF!, Tableau5[Code sandre], Tableau5[Code sandre],, 0) &lt;&gt; "", 1, ""), "")</f>
        <v/>
      </c>
    </row>
    <row r="934">
      <c r="A934" s="14" t="inlineStr">
        <is>
          <t>M-TOLUIDINE</t>
        </is>
      </c>
      <c r="B934" t="inlineStr">
        <is>
          <t>108-44-1</t>
        </is>
      </c>
      <c r="C934" s="1" t="n">
        <v>3351</v>
      </c>
      <c r="E934">
        <f>IFERROR(IF(_xlfn.XLOOKUP(#REF!, Tableau5[Code sandre], Tableau5[Code sandre],, 0) &lt;&gt; "", 1, ""), "")</f>
        <v/>
      </c>
    </row>
    <row r="935">
      <c r="A935" s="14" t="inlineStr">
        <is>
          <t>MVS</t>
        </is>
      </c>
      <c r="C935" s="1" t="n">
        <v>8110</v>
      </c>
      <c r="E935">
        <f>IFERROR(IF(_xlfn.XLOOKUP(#REF!, Tableau5[Code sandre], Tableau5[Code sandre],, 0) &lt;&gt; "", 1, ""), "")</f>
        <v/>
      </c>
    </row>
    <row r="936">
      <c r="A936" s="14" t="inlineStr">
        <is>
          <t>M-XYLENE</t>
        </is>
      </c>
      <c r="B936" t="inlineStr">
        <is>
          <t>108-38-3</t>
        </is>
      </c>
      <c r="C936" s="1" t="n">
        <v>2925</v>
      </c>
      <c r="E936">
        <f>IFERROR(IF(_xlfn.XLOOKUP(#REF!, Tableau5[Code sandre], Tableau5[Code sandre],, 0) &lt;&gt; "", 1, ""), "")</f>
        <v/>
      </c>
    </row>
    <row r="937">
      <c r="A937" s="14" t="inlineStr">
        <is>
          <t>MYCLOBUTANIL</t>
        </is>
      </c>
      <c r="B937" t="inlineStr">
        <is>
          <t>88671-89-0</t>
        </is>
      </c>
      <c r="C937" s="1" t="n">
        <v>1881</v>
      </c>
      <c r="E937">
        <f>IFERROR(IF(_xlfn.XLOOKUP(#REF!, Tableau5[Code sandre], Tableau5[Code sandre],, 0) &lt;&gt; "", 1, ""), "")</f>
        <v/>
      </c>
    </row>
    <row r="938">
      <c r="A938" s="14" t="inlineStr">
        <is>
          <t>N_METHYL_PYROLIDINE_NMP</t>
        </is>
      </c>
      <c r="B938" t="inlineStr">
        <is>
          <t>872-50-4</t>
        </is>
      </c>
      <c r="C938" s="1" t="n">
        <v>5326</v>
      </c>
      <c r="E938">
        <f>IFERROR(IF(_xlfn.XLOOKUP(#REF!, Tableau5[Code sandre], Tableau5[Code sandre],, 0) &lt;&gt; "", 1, ""), "")</f>
        <v/>
      </c>
    </row>
    <row r="939">
      <c r="A939" s="14" t="inlineStr">
        <is>
          <t>NA</t>
        </is>
      </c>
      <c r="C939" s="1" t="n">
        <v>1375</v>
      </c>
      <c r="E939">
        <f>IFERROR(IF(_xlfn.XLOOKUP(#REF!, Tableau5[Code sandre], Tableau5[Code sandre],, 0) &lt;&gt; "", 1, ""), "")</f>
        <v/>
      </c>
    </row>
    <row r="940">
      <c r="A940" s="14" t="inlineStr">
        <is>
          <t>NACL</t>
        </is>
      </c>
      <c r="B940" t="inlineStr">
        <is>
          <t>7647-14-5</t>
        </is>
      </c>
      <c r="C940" s="1" t="n">
        <v>7018</v>
      </c>
      <c r="E940">
        <f>IFERROR(IF(_xlfn.XLOOKUP(#REF!, Tableau5[Code sandre], Tableau5[Code sandre],, 0) &lt;&gt; "", 1, ""), "")</f>
        <v/>
      </c>
    </row>
    <row r="941">
      <c r="A941" s="14" t="inlineStr">
        <is>
          <t>NAFTIDROFURYL</t>
        </is>
      </c>
      <c r="B941" t="inlineStr">
        <is>
          <t>31329-57-4</t>
        </is>
      </c>
      <c r="C941" s="1" t="n">
        <v>6721</v>
      </c>
      <c r="E941">
        <f>IFERROR(IF(_xlfn.XLOOKUP(#REF!, Tableau5[Code sandre], Tableau5[Code sandre],, 0) &lt;&gt; "", 1, ""), "")</f>
        <v/>
      </c>
    </row>
    <row r="942">
      <c r="A942" s="14" t="inlineStr">
        <is>
          <t>NAPHTALENE</t>
        </is>
      </c>
      <c r="B942" t="inlineStr">
        <is>
          <t>91-20-3</t>
        </is>
      </c>
      <c r="C942" s="1" t="n">
        <v>1517</v>
      </c>
      <c r="E942">
        <f>IFERROR(IF(_xlfn.XLOOKUP(#REF!, Tableau5[Code sandre], Tableau5[Code sandre],, 0) &lt;&gt; "", 1, ""), "")</f>
        <v/>
      </c>
    </row>
    <row r="943">
      <c r="A943" s="14" t="inlineStr">
        <is>
          <t>NAPROPAMIDE</t>
        </is>
      </c>
      <c r="B943" t="inlineStr">
        <is>
          <t>15299-99-7</t>
        </is>
      </c>
      <c r="C943" s="1" t="n">
        <v>1519</v>
      </c>
      <c r="E943">
        <f>IFERROR(IF(_xlfn.XLOOKUP(#REF!, Tableau5[Code sandre], Tableau5[Code sandre],, 0) &lt;&gt; "", 1, ""), "")</f>
        <v/>
      </c>
    </row>
    <row r="944">
      <c r="A944" s="14" t="inlineStr">
        <is>
          <t>NAPROXEN</t>
        </is>
      </c>
      <c r="B944" t="inlineStr">
        <is>
          <t>22204-53-1</t>
        </is>
      </c>
      <c r="C944" s="1" t="n">
        <v>5351</v>
      </c>
      <c r="E944">
        <f>IFERROR(IF(_xlfn.XLOOKUP(#REF!, Tableau5[Code sandre], Tableau5[Code sandre],, 0) &lt;&gt; "", 1, ""), "")</f>
        <v/>
      </c>
    </row>
    <row r="945">
      <c r="A945" s="14" t="inlineStr">
        <is>
          <t>NAPTALAME_TOTAL</t>
        </is>
      </c>
      <c r="B945" t="inlineStr">
        <is>
          <t>132-66-1</t>
        </is>
      </c>
      <c r="C945" s="1" t="n">
        <v>1937</v>
      </c>
      <c r="E945">
        <f>IFERROR(IF(_xlfn.XLOOKUP(#REF!, Tableau5[Code sandre], Tableau5[Code sandre],, 0) &lt;&gt; "", 1, ""), "")</f>
        <v/>
      </c>
    </row>
    <row r="946">
      <c r="A946" s="14" t="inlineStr">
        <is>
          <t>NBBS</t>
        </is>
      </c>
      <c r="B946" t="inlineStr">
        <is>
          <t>3622-84-2</t>
        </is>
      </c>
      <c r="C946" s="1" t="n">
        <v>5299</v>
      </c>
      <c r="E946">
        <f>IFERROR(IF(_xlfn.XLOOKUP(#REF!, Tableau5[Code sandre], Tableau5[Code sandre],, 0) &lt;&gt; "", 1, ""), "")</f>
        <v/>
      </c>
    </row>
    <row r="947">
      <c r="A947" s="14" t="inlineStr">
        <is>
          <t>N-BUTANE</t>
        </is>
      </c>
      <c r="B947" t="inlineStr">
        <is>
          <t>106-97-8</t>
        </is>
      </c>
      <c r="C947" s="1" t="n">
        <v>6059</v>
      </c>
      <c r="E947">
        <f>IFERROR(IF(_xlfn.XLOOKUP(#REF!, Tableau5[Code sandre], Tableau5[Code sandre],, 0) &lt;&gt; "", 1, ""), "")</f>
        <v/>
      </c>
    </row>
    <row r="948">
      <c r="A948" s="14" t="inlineStr">
        <is>
          <t>N-BUTANOL</t>
        </is>
      </c>
      <c r="B948" t="inlineStr">
        <is>
          <t>71-36-3</t>
        </is>
      </c>
      <c r="C948" s="1" t="n">
        <v>2595</v>
      </c>
      <c r="E948">
        <f>IFERROR(IF(_xlfn.XLOOKUP(#REF!, Tableau5[Code sandre], Tableau5[Code sandre],, 0) &lt;&gt; "", 1, ""), "")</f>
        <v/>
      </c>
    </row>
    <row r="949">
      <c r="A949" s="14" t="inlineStr">
        <is>
          <t>NEBURON</t>
        </is>
      </c>
      <c r="B949" t="inlineStr">
        <is>
          <t>555-37-3</t>
        </is>
      </c>
      <c r="C949" s="1" t="n">
        <v>1520</v>
      </c>
      <c r="E949">
        <f>IFERROR(IF(_xlfn.XLOOKUP(#REF!, Tableau5[Code sandre], Tableau5[Code sandre],, 0) &lt;&gt; "", 1, ""), "")</f>
        <v/>
      </c>
    </row>
    <row r="950">
      <c r="A950" s="14" t="inlineStr">
        <is>
          <t>NEODYME</t>
        </is>
      </c>
      <c r="B950" t="inlineStr">
        <is>
          <t>7440-00-8</t>
        </is>
      </c>
      <c r="C950" s="1" t="n">
        <v>5877</v>
      </c>
      <c r="D950" t="inlineStr">
        <is>
          <t>ARC54</t>
        </is>
      </c>
      <c r="E950">
        <f>IFERROR(IF(_xlfn.XLOOKUP(#REF!, Tableau5[Code sandre], Tableau5[Code sandre],, 0) &lt;&gt; "", 1, ""), "")</f>
        <v/>
      </c>
    </row>
    <row r="951">
      <c r="A951" s="14" t="inlineStr">
        <is>
          <t>NFDHA</t>
        </is>
      </c>
      <c r="B951" t="inlineStr">
        <is>
          <t>151772-58-6</t>
        </is>
      </c>
      <c r="C951" s="1" t="n">
        <v>9117</v>
      </c>
      <c r="E951">
        <f>IFERROR(IF(_xlfn.XLOOKUP(#REF!, Tableau5[Code sandre], Tableau5[Code sandre],, 0) &lt;&gt; "", 1, ""), "")</f>
        <v/>
      </c>
    </row>
    <row r="952">
      <c r="A952" s="14" t="inlineStr">
        <is>
          <t>NH-CN-2CL-3F-ME-PHE-PYRAZOLE</t>
        </is>
      </c>
      <c r="B952" t="inlineStr">
        <is>
          <t>288-13-1</t>
        </is>
      </c>
      <c r="C952" s="1" t="n">
        <v>6251</v>
      </c>
      <c r="E952">
        <f>IFERROR(IF(_xlfn.XLOOKUP(#REF!, Tableau5[Code sandre], Tableau5[Code sandre],, 0) &lt;&gt; "", 1, ""), "")</f>
        <v/>
      </c>
    </row>
    <row r="953">
      <c r="A953" s="14" t="inlineStr">
        <is>
          <t>NICKEL</t>
        </is>
      </c>
      <c r="C953" s="1" t="n">
        <v>1386</v>
      </c>
      <c r="E953">
        <f>IFERROR(IF(_xlfn.XLOOKUP(#REF!, Tableau5[Code sandre], Tableau5[Code sandre],, 0) &lt;&gt; "", 1, ""), "")</f>
        <v/>
      </c>
    </row>
    <row r="954">
      <c r="A954" s="14" t="inlineStr">
        <is>
          <t>NICOSULFURON</t>
        </is>
      </c>
      <c r="B954" t="inlineStr">
        <is>
          <t>111991-09-4</t>
        </is>
      </c>
      <c r="C954" s="1" t="n">
        <v>1882</v>
      </c>
      <c r="D954" s="15" t="inlineStr"/>
      <c r="E954">
        <f>IFERROR(IF(_xlfn.XLOOKUP(#REF!, Tableau5[Code sandre], Tableau5[Code sandre],, 0) &lt;&gt; "", 1, ""), "")</f>
        <v/>
      </c>
    </row>
    <row r="955">
      <c r="A955" s="14" t="inlineStr">
        <is>
          <t>NICOSULFURON_AUSN</t>
        </is>
      </c>
      <c r="C955" t="n">
        <v>7719</v>
      </c>
      <c r="E955">
        <f>IFERROR(IF(_xlfn.XLOOKUP(#REF!, Tableau5[Code sandre], Tableau5[Code sandre],, 0) &lt;&gt; "", 1, ""), "")</f>
        <v/>
      </c>
    </row>
    <row r="956">
      <c r="A956" s="14" t="inlineStr">
        <is>
          <t>NICOSULFURON_ST</t>
        </is>
      </c>
      <c r="C956" s="1" t="n">
        <v>1882</v>
      </c>
      <c r="E956">
        <f>IFERROR(IF(_xlfn.XLOOKUP(#REF!, Tableau5[Code sandre], Tableau5[Code sandre],, 0) &lt;&gt; "", 1, ""), "")</f>
        <v/>
      </c>
    </row>
    <row r="957">
      <c r="A957" s="14" t="inlineStr">
        <is>
          <t>NICOTINE</t>
        </is>
      </c>
      <c r="B957" t="inlineStr">
        <is>
          <t>54-11-5</t>
        </is>
      </c>
      <c r="C957" s="1" t="n">
        <v>5657</v>
      </c>
      <c r="E957">
        <f>IFERROR(IF(_xlfn.XLOOKUP(#REF!, Tableau5[Code sandre], Tableau5[Code sandre],, 0) &lt;&gt; "", 1, ""), "")</f>
        <v/>
      </c>
    </row>
    <row r="958">
      <c r="A958" s="14" t="inlineStr">
        <is>
          <t>NITRATES</t>
        </is>
      </c>
      <c r="B958" t="inlineStr">
        <is>
          <t>14797-55-8</t>
        </is>
      </c>
      <c r="C958" s="1" t="n">
        <v>1340</v>
      </c>
      <c r="D958" t="inlineStr">
        <is>
          <t>BRPH</t>
        </is>
      </c>
      <c r="E958">
        <f>IFERROR(IF(_xlfn.XLOOKUP(#REF!, Tableau5[Code sandre], Tableau5[Code sandre],, 0) &lt;&gt; "", 1, ""), "")</f>
        <v/>
      </c>
    </row>
    <row r="959">
      <c r="A959" s="14" t="inlineStr">
        <is>
          <t>NITRATES_SOLUBLES</t>
        </is>
      </c>
      <c r="B959" t="inlineStr">
        <is>
          <t>14797-55-8</t>
        </is>
      </c>
      <c r="C959" s="1" t="n">
        <v>1340</v>
      </c>
      <c r="E959">
        <f>IFERROR(IF(_xlfn.XLOOKUP(#REF!, Tableau5[Code sandre], Tableau5[Code sandre],, 0) &lt;&gt; "", 1, ""), "")</f>
        <v/>
      </c>
    </row>
    <row r="960">
      <c r="A960" s="14" t="inlineStr">
        <is>
          <t>NITRITES</t>
        </is>
      </c>
      <c r="B960" t="inlineStr">
        <is>
          <t>14797-65-0</t>
        </is>
      </c>
      <c r="C960" s="1" t="n">
        <v>1339</v>
      </c>
      <c r="D960" t="inlineStr">
        <is>
          <t>BROMOE</t>
        </is>
      </c>
      <c r="E960">
        <f>IFERROR(IF(_xlfn.XLOOKUP(#REF!, Tableau5[Code sandre], Tableau5[Code sandre],, 0) &lt;&gt; "", 1, ""), "")</f>
        <v/>
      </c>
    </row>
    <row r="961">
      <c r="A961" s="14" t="inlineStr">
        <is>
          <t>NITROBENZENE</t>
        </is>
      </c>
      <c r="B961" t="inlineStr">
        <is>
          <t>98-95-3</t>
        </is>
      </c>
      <c r="C961" s="1" t="n">
        <v>2614</v>
      </c>
      <c r="E961">
        <f>IFERROR(IF(_xlfn.XLOOKUP(#REF!, Tableau5[Code sandre], Tableau5[Code sandre],, 0) &lt;&gt; "", 1, ""), "")</f>
        <v/>
      </c>
    </row>
    <row r="962">
      <c r="A962" s="14" t="inlineStr">
        <is>
          <t>NITROFEN</t>
        </is>
      </c>
      <c r="B962" t="inlineStr">
        <is>
          <t>1836-75-5</t>
        </is>
      </c>
      <c r="C962" s="1" t="n">
        <v>1229</v>
      </c>
      <c r="E962">
        <f>IFERROR(IF(_xlfn.XLOOKUP(#REF!, Tableau5[Code sandre], Tableau5[Code sandre],, 0) &lt;&gt; "", 1, ""), "")</f>
        <v/>
      </c>
    </row>
    <row r="963">
      <c r="A963" s="14" t="inlineStr">
        <is>
          <t>NITROGLYCERINE</t>
        </is>
      </c>
      <c r="B963" t="inlineStr">
        <is>
          <t>55-63-0</t>
        </is>
      </c>
      <c r="C963" s="1" t="n">
        <v>6209</v>
      </c>
      <c r="E963">
        <f>IFERROR(IF(_xlfn.XLOOKUP(#REF!, Tableau5[Code sandre], Tableau5[Code sandre],, 0) &lt;&gt; "", 1, ""), "")</f>
        <v/>
      </c>
    </row>
    <row r="964">
      <c r="A964" s="14" t="inlineStr">
        <is>
          <t>NITROGUANIDINE</t>
        </is>
      </c>
      <c r="B964" t="inlineStr">
        <is>
          <t>556-88-7</t>
        </is>
      </c>
      <c r="C964" s="1" t="n">
        <v>6210</v>
      </c>
      <c r="E964">
        <f>IFERROR(IF(_xlfn.XLOOKUP(#REF!, Tableau5[Code sandre], Tableau5[Code sandre],, 0) &lt;&gt; "", 1, ""), "")</f>
        <v/>
      </c>
    </row>
    <row r="965">
      <c r="A965" s="14" t="inlineStr">
        <is>
          <t>NITROSAMINE_NDBA</t>
        </is>
      </c>
      <c r="B965" t="inlineStr">
        <is>
          <t>924-16-3</t>
        </is>
      </c>
      <c r="C965" s="1" t="n">
        <v>6174</v>
      </c>
      <c r="D965" t="inlineStr">
        <is>
          <t>NH4</t>
        </is>
      </c>
      <c r="E965">
        <f>IFERROR(IF(_xlfn.XLOOKUP(#REF!, Tableau5[Code sandre], Tableau5[Code sandre],, 0) &lt;&gt; "", 1, ""), "")</f>
        <v/>
      </c>
    </row>
    <row r="966">
      <c r="A966" s="14" t="inlineStr">
        <is>
          <t>NITROSAMINE_NDEA</t>
        </is>
      </c>
      <c r="B966" t="inlineStr">
        <is>
          <t>55-18-5</t>
        </is>
      </c>
      <c r="C966" s="1" t="n">
        <v>1845</v>
      </c>
      <c r="D966" t="inlineStr">
        <is>
          <t>CO2</t>
        </is>
      </c>
      <c r="E966">
        <f>IFERROR(IF(_xlfn.XLOOKUP(#REF!, Tableau5[Code sandre], Tableau5[Code sandre],, 0) &lt;&gt; "", 1, ""), "")</f>
        <v/>
      </c>
    </row>
    <row r="967">
      <c r="A967" s="14" t="inlineStr">
        <is>
          <t>NITROSAMINE_NDMA</t>
        </is>
      </c>
      <c r="B967" t="inlineStr">
        <is>
          <t>62-75-9</t>
        </is>
      </c>
      <c r="C967" s="1" t="n">
        <v>6620</v>
      </c>
      <c r="E967">
        <f>IFERROR(IF(_xlfn.XLOOKUP(#REF!, Tableau5[Code sandre], Tableau5[Code sandre],, 0) &lt;&gt; "", 1, ""), "")</f>
        <v/>
      </c>
    </row>
    <row r="968">
      <c r="A968" s="14" t="inlineStr">
        <is>
          <t>NITROSAMINE_NDPA</t>
        </is>
      </c>
      <c r="B968" t="inlineStr">
        <is>
          <t>621-64-7</t>
        </is>
      </c>
      <c r="C968" s="1" t="n">
        <v>3354</v>
      </c>
      <c r="D968" t="inlineStr">
        <is>
          <t>BMG</t>
        </is>
      </c>
      <c r="E968">
        <f>IFERROR(IF(_xlfn.XLOOKUP(#REF!, Tableau5[Code sandre], Tableau5[Code sandre],, 0) &lt;&gt; "", 1, ""), "")</f>
        <v/>
      </c>
    </row>
    <row r="969">
      <c r="A969" s="14" t="inlineStr">
        <is>
          <t>NITROSAMINE_NEPHA</t>
        </is>
      </c>
      <c r="B969" t="inlineStr">
        <is>
          <t>209-143-5</t>
        </is>
      </c>
      <c r="C969" s="1" t="n">
        <v>1846</v>
      </c>
      <c r="D969" t="inlineStr">
        <is>
          <t>AG</t>
        </is>
      </c>
      <c r="E969">
        <f>IFERROR(IF(_xlfn.XLOOKUP(#REF!, Tableau5[Code sandre], Tableau5[Code sandre],, 0) &lt;&gt; "", 1, ""), "")</f>
        <v/>
      </c>
    </row>
    <row r="970">
      <c r="A970" s="14" t="inlineStr">
        <is>
          <t>NITROSAMINE_NMEA</t>
        </is>
      </c>
      <c r="B970" t="inlineStr">
        <is>
          <t>10595-95-6</t>
        </is>
      </c>
      <c r="C970" s="1" t="n">
        <v>6173</v>
      </c>
      <c r="D970" t="inlineStr">
        <is>
          <t>AG</t>
        </is>
      </c>
      <c r="E970">
        <f>IFERROR(IF(_xlfn.XLOOKUP(#REF!, Tableau5[Code sandre], Tableau5[Code sandre],, 0) &lt;&gt; "", 1, ""), "")</f>
        <v/>
      </c>
    </row>
    <row r="971">
      <c r="A971" s="14" t="inlineStr">
        <is>
          <t>NITROSAMINE_NMOR</t>
        </is>
      </c>
      <c r="B971" t="inlineStr">
        <is>
          <t>59-89-2</t>
        </is>
      </c>
      <c r="C971" s="1" t="n">
        <v>6175</v>
      </c>
      <c r="D971" t="inlineStr">
        <is>
          <t>AS</t>
        </is>
      </c>
      <c r="E971">
        <f>IFERROR(IF(_xlfn.XLOOKUP(#REF!, Tableau5[Code sandre], Tableau5[Code sandre],, 0) &lt;&gt; "", 1, ""), "")</f>
        <v/>
      </c>
    </row>
    <row r="972">
      <c r="A972" s="14" t="inlineStr">
        <is>
          <t>NITROSAMINE_NPIP</t>
        </is>
      </c>
      <c r="B972" t="inlineStr">
        <is>
          <t>100-75-4</t>
        </is>
      </c>
      <c r="C972" s="1" t="n">
        <v>6176</v>
      </c>
      <c r="D972" t="inlineStr">
        <is>
          <t>ALD</t>
        </is>
      </c>
      <c r="E972">
        <f>IFERROR(IF(_xlfn.XLOOKUP(#REF!, Tableau5[Code sandre], Tableau5[Code sandre],, 0) &lt;&gt; "", 1, ""), "")</f>
        <v/>
      </c>
    </row>
    <row r="973">
      <c r="A973" s="14" t="inlineStr">
        <is>
          <t>NITROSAMINE_NPYR</t>
        </is>
      </c>
      <c r="B973" t="inlineStr">
        <is>
          <t>930-55-2</t>
        </is>
      </c>
      <c r="C973" s="1" t="n">
        <v>6177</v>
      </c>
      <c r="D973" t="inlineStr">
        <is>
          <t>ALD</t>
        </is>
      </c>
      <c r="E973">
        <f>IFERROR(IF(_xlfn.XLOOKUP(#REF!, Tableau5[Code sandre], Tableau5[Code sandre],, 0) &lt;&gt; "", 1, ""), "")</f>
        <v/>
      </c>
    </row>
    <row r="974">
      <c r="A974" s="14" t="inlineStr">
        <is>
          <t>N-MEFOSE</t>
        </is>
      </c>
      <c r="B974" t="inlineStr">
        <is>
          <t>24448-09-7</t>
        </is>
      </c>
      <c r="C974" s="1" t="n">
        <v>9210</v>
      </c>
      <c r="E974" s="15">
        <f>IFERROR(IF(_xlfn.XLOOKUP(#REF!, Tableau5[Code sandre], Tableau5[Code sandre],, 0) &lt;&gt; "", 1, ""), "")</f>
        <v/>
      </c>
    </row>
    <row r="975">
      <c r="A975" s="14" t="inlineStr">
        <is>
          <t>N-METHYL-2-PYRROLIDONE</t>
        </is>
      </c>
      <c r="B975" t="inlineStr">
        <is>
          <t>872-50-4</t>
        </is>
      </c>
      <c r="C975" s="1" t="n">
        <v>5526</v>
      </c>
      <c r="E975">
        <f>IFERROR(IF(_xlfn.XLOOKUP(#REF!, Tableau5[Code sandre], Tableau5[Code sandre],, 0) &lt;&gt; "", 1, ""), "")</f>
        <v/>
      </c>
    </row>
    <row r="976">
      <c r="A976" s="14" t="inlineStr">
        <is>
          <t>NN_DIMETHY_TOLYSULFAMIDE_DMST</t>
        </is>
      </c>
      <c r="B976" t="inlineStr">
        <is>
          <t>66840-71-9</t>
        </is>
      </c>
      <c r="C976" s="1" t="n">
        <v>6824</v>
      </c>
      <c r="E976">
        <f>IFERROR(IF(_xlfn.XLOOKUP(#REF!, Tableau5[Code sandre], Tableau5[Code sandre],, 0) &lt;&gt; "", 1, ""), "")</f>
        <v/>
      </c>
    </row>
    <row r="977">
      <c r="A977" s="14" t="inlineStr">
        <is>
          <t>NN_DIMETHYSULFAMIDE_DMS</t>
        </is>
      </c>
      <c r="C977" t="n">
        <v>6384</v>
      </c>
      <c r="E977">
        <f>IFERROR(IF(_xlfn.XLOOKUP(#REF!, Tableau5[Code sandre], Tableau5[Code sandre],, 0) &lt;&gt; "", 1, ""), "")</f>
        <v/>
      </c>
    </row>
    <row r="978">
      <c r="A978" s="14" t="inlineStr">
        <is>
          <t>N-NITROSODIBUTYLAMINE</t>
        </is>
      </c>
      <c r="B978" t="inlineStr">
        <is>
          <t>924-16-3</t>
        </is>
      </c>
      <c r="C978" s="1" t="n">
        <v>6174</v>
      </c>
      <c r="E978">
        <f>IFERROR(IF(_xlfn.XLOOKUP(#REF!, Tableau5[Code sandre], Tableau5[Code sandre],, 0) &lt;&gt; "", 1, ""), "")</f>
        <v/>
      </c>
    </row>
    <row r="979">
      <c r="A979" s="14" t="inlineStr">
        <is>
          <t>N-NITROSODIETHYLAMINE</t>
        </is>
      </c>
      <c r="B979" t="inlineStr">
        <is>
          <t>55-18-5</t>
        </is>
      </c>
      <c r="C979" s="1" t="n">
        <v>1845</v>
      </c>
      <c r="E979">
        <f>IFERROR(IF(_xlfn.XLOOKUP(#REF!, Tableau5[Code sandre], Tableau5[Code sandre],, 0) &lt;&gt; "", 1, ""), "")</f>
        <v/>
      </c>
    </row>
    <row r="980">
      <c r="A980" s="14" t="inlineStr">
        <is>
          <t>N-NITROSODIMETHYLAMINE</t>
        </is>
      </c>
      <c r="B980" t="inlineStr">
        <is>
          <t>62-75-9</t>
        </is>
      </c>
      <c r="C980" s="1" t="n">
        <v>6620</v>
      </c>
      <c r="E980">
        <f>IFERROR(IF(_xlfn.XLOOKUP(#REF!, Tableau5[Code sandre], Tableau5[Code sandre],, 0) &lt;&gt; "", 1, ""), "")</f>
        <v/>
      </c>
    </row>
    <row r="981">
      <c r="A981" s="14" t="inlineStr">
        <is>
          <t>N-NITROSODI-N-BUTYLAMINE</t>
        </is>
      </c>
      <c r="B981" t="inlineStr">
        <is>
          <t>924-16-3</t>
        </is>
      </c>
      <c r="C981" s="1" t="n">
        <v>6174</v>
      </c>
      <c r="E981">
        <f>IFERROR(IF(_xlfn.XLOOKUP(#REF!, Tableau5[Code sandre], Tableau5[Code sandre],, 0) &lt;&gt; "", 1, ""), "")</f>
        <v/>
      </c>
    </row>
    <row r="982">
      <c r="A982" s="14" t="inlineStr">
        <is>
          <t>N-NITROSODI-N-PROPYLAMINE</t>
        </is>
      </c>
      <c r="B982" t="inlineStr">
        <is>
          <t>621-64-7</t>
        </is>
      </c>
      <c r="C982" s="1" t="n">
        <v>3354</v>
      </c>
      <c r="E982">
        <f>IFERROR(IF(_xlfn.XLOOKUP(#REF!, Tableau5[Code sandre], Tableau5[Code sandre],, 0) &lt;&gt; "", 1, ""), "")</f>
        <v/>
      </c>
    </row>
    <row r="983">
      <c r="A983" s="14" t="inlineStr">
        <is>
          <t>N-NITROSODIPHENYLAMINE</t>
        </is>
      </c>
      <c r="B983" t="inlineStr">
        <is>
          <t>86-30-6</t>
        </is>
      </c>
      <c r="C983" s="1" t="n">
        <v>1846</v>
      </c>
      <c r="E983">
        <f>IFERROR(IF(_xlfn.XLOOKUP(#REF!, Tableau5[Code sandre], Tableau5[Code sandre],, 0) &lt;&gt; "", 1, ""), "")</f>
        <v/>
      </c>
    </row>
    <row r="984">
      <c r="A984" s="14" t="inlineStr">
        <is>
          <t>N-NITROSOMETHYLETHYLAMINE-NMEA</t>
        </is>
      </c>
      <c r="B984" t="inlineStr">
        <is>
          <t>10595-95-6</t>
        </is>
      </c>
      <c r="C984" s="1" t="n">
        <v>6173</v>
      </c>
      <c r="E984">
        <f>IFERROR(IF(_xlfn.XLOOKUP(#REF!, Tableau5[Code sandre], Tableau5[Code sandre],, 0) &lt;&gt; "", 1, ""), "")</f>
        <v/>
      </c>
    </row>
    <row r="985">
      <c r="A985" s="14" t="inlineStr">
        <is>
          <t>N-NITROSOMORPHOLINE</t>
        </is>
      </c>
      <c r="B985" t="inlineStr">
        <is>
          <t>59-89-2</t>
        </is>
      </c>
      <c r="C985" s="1" t="n">
        <v>6175</v>
      </c>
      <c r="E985">
        <f>IFERROR(IF(_xlfn.XLOOKUP(#REF!, Tableau5[Code sandre], Tableau5[Code sandre],, 0) &lt;&gt; "", 1, ""), "")</f>
        <v/>
      </c>
    </row>
    <row r="986">
      <c r="A986" s="14" t="inlineStr">
        <is>
          <t>N-NITROSOPIPERIDINE</t>
        </is>
      </c>
      <c r="B986" t="inlineStr">
        <is>
          <t>100-75-4</t>
        </is>
      </c>
      <c r="C986" s="1" t="n">
        <v>6176</v>
      </c>
      <c r="E986">
        <f>IFERROR(IF(_xlfn.XLOOKUP(#REF!, Tableau5[Code sandre], Tableau5[Code sandre],, 0) &lt;&gt; "", 1, ""), "")</f>
        <v/>
      </c>
    </row>
    <row r="987">
      <c r="A987" s="14" t="inlineStr">
        <is>
          <t>N-NITROSOPYROLLIDINE</t>
        </is>
      </c>
      <c r="B987" t="inlineStr">
        <is>
          <t>930-55-2</t>
        </is>
      </c>
      <c r="C987" s="1" t="n">
        <v>6177</v>
      </c>
      <c r="E987">
        <f>IFERROR(IF(_xlfn.XLOOKUP(#REF!, Tableau5[Code sandre], Tableau5[Code sandre],, 0) &lt;&gt; "", 1, ""), "")</f>
        <v/>
      </c>
    </row>
    <row r="988">
      <c r="A988" s="14" t="inlineStr">
        <is>
          <t>NO2</t>
        </is>
      </c>
      <c r="B988" t="inlineStr">
        <is>
          <t>14797-65-0</t>
        </is>
      </c>
      <c r="C988" s="1" t="n">
        <v>1329</v>
      </c>
      <c r="D988" t="inlineStr">
        <is>
          <t>ADC</t>
        </is>
      </c>
      <c r="E988">
        <f>IFERROR(IF(_xlfn.XLOOKUP(#REF!, Tableau5[Code sandre], Tableau5[Code sandre],, 0) &lt;&gt; "", 1, ""), "")</f>
        <v/>
      </c>
    </row>
    <row r="989">
      <c r="A989" s="14" t="inlineStr">
        <is>
          <t>NO3-50_NO2-3</t>
        </is>
      </c>
      <c r="B989" t="inlineStr">
        <is>
          <t>14797-65-0</t>
        </is>
      </c>
      <c r="C989" s="1" t="n">
        <v>1339</v>
      </c>
      <c r="E989">
        <f>IFERROR(IF(_xlfn.XLOOKUP(#REF!, Tableau5[Code sandre], Tableau5[Code sandre],, 0) &lt;&gt; "", 1, ""), "")</f>
        <v/>
      </c>
    </row>
    <row r="990">
      <c r="A990" s="14" t="inlineStr">
        <is>
          <t>NONANE_C9</t>
        </is>
      </c>
      <c r="B990" t="inlineStr">
        <is>
          <t>111-84-2</t>
        </is>
      </c>
      <c r="C990" s="1" t="n">
        <v>2684</v>
      </c>
      <c r="E990">
        <f>IFERROR(IF(_xlfn.XLOOKUP(#REF!, Tableau5[Code sandre], Tableau5[Code sandre],, 0) &lt;&gt; "", 1, ""), "")</f>
        <v/>
      </c>
    </row>
    <row r="991">
      <c r="A991" s="14" t="inlineStr">
        <is>
          <t>NONYLPHENOLS_CAS_25154-52-3</t>
        </is>
      </c>
      <c r="B991" t="inlineStr">
        <is>
          <t>25154-52-3</t>
        </is>
      </c>
      <c r="C991" s="1" t="n">
        <v>1957</v>
      </c>
      <c r="E991">
        <f>IFERROR(IF(_xlfn.XLOOKUP(#REF!, Tableau5[Code sandre], Tableau5[Code sandre],, 0) &lt;&gt; "", 1, ""), "")</f>
        <v/>
      </c>
    </row>
    <row r="992">
      <c r="A992" s="14" t="inlineStr">
        <is>
          <t>NORETHINDRONE</t>
        </is>
      </c>
      <c r="B992" t="inlineStr">
        <is>
          <t>68-22-4</t>
        </is>
      </c>
      <c r="C992" s="1" t="n">
        <v>5400</v>
      </c>
      <c r="E992">
        <f>IFERROR(IF(_xlfn.XLOOKUP(#REF!, Tableau5[Code sandre], Tableau5[Code sandre],, 0) &lt;&gt; "", 1, ""), "")</f>
        <v/>
      </c>
    </row>
    <row r="993">
      <c r="A993" s="14" t="inlineStr">
        <is>
          <t>NORFLURAZON</t>
        </is>
      </c>
      <c r="B993" t="inlineStr">
        <is>
          <t>27314-13-2</t>
        </is>
      </c>
      <c r="C993" s="1" t="n">
        <v>1669</v>
      </c>
      <c r="E993">
        <f>IFERROR(IF(_xlfn.XLOOKUP(#REF!, Tableau5[Code sandre], Tableau5[Code sandre],, 0) &lt;&gt; "", 1, ""), "")</f>
        <v/>
      </c>
    </row>
    <row r="994">
      <c r="A994" s="14" t="inlineStr">
        <is>
          <t>NP1EO_CAS_27986-36-3</t>
        </is>
      </c>
      <c r="B994" t="inlineStr">
        <is>
          <t>27986-36-3</t>
        </is>
      </c>
      <c r="C994" s="1" t="n">
        <v>6366</v>
      </c>
      <c r="E994">
        <f>IFERROR(IF(_xlfn.XLOOKUP(#REF!, Tableau5[Code sandre], Tableau5[Code sandre],, 0) &lt;&gt; "", 1, ""), "")</f>
        <v/>
      </c>
    </row>
    <row r="995">
      <c r="A995" s="14" t="inlineStr">
        <is>
          <t>NP2EO_CAS_20427-84-3_156609-10-8</t>
        </is>
      </c>
      <c r="B995" t="inlineStr">
        <is>
          <t>156609-10-8</t>
        </is>
      </c>
      <c r="C995" s="1" t="n">
        <v>2875</v>
      </c>
      <c r="E995">
        <f>IFERROR(IF(_xlfn.XLOOKUP(#REF!, Tableau5[Code sandre], Tableau5[Code sandre],, 0) &lt;&gt; "", 1, ""), "")</f>
        <v/>
      </c>
    </row>
    <row r="996">
      <c r="A996" s="14" t="inlineStr">
        <is>
          <t>N-PENTANOL</t>
        </is>
      </c>
      <c r="B996" t="inlineStr">
        <is>
          <t>71-41-0</t>
        </is>
      </c>
      <c r="C996" s="1" t="n">
        <v>2598</v>
      </c>
      <c r="E996">
        <f>IFERROR(IF(_xlfn.XLOOKUP(#REF!, Tableau5[Code sandre], Tableau5[Code sandre],, 0) &lt;&gt; "", 1, ""), "")</f>
        <v/>
      </c>
    </row>
    <row r="997">
      <c r="A997" s="14" t="inlineStr">
        <is>
          <t>N-PROPANE</t>
        </is>
      </c>
      <c r="B997" t="inlineStr">
        <is>
          <t>74-98-6</t>
        </is>
      </c>
      <c r="C997" s="1" t="n">
        <v>6057</v>
      </c>
      <c r="E997">
        <f>IFERROR(IF(_xlfn.XLOOKUP(#REF!, Tableau5[Code sandre], Tableau5[Code sandre],, 0) &lt;&gt; "", 1, ""), "")</f>
        <v/>
      </c>
    </row>
    <row r="998">
      <c r="A998" s="14" t="inlineStr">
        <is>
          <t>N-PROPANOL</t>
        </is>
      </c>
      <c r="B998" t="inlineStr">
        <is>
          <t>71-23-8</t>
        </is>
      </c>
      <c r="C998" s="1" t="n">
        <v>2617</v>
      </c>
      <c r="E998">
        <f>IFERROR(IF(_xlfn.XLOOKUP(#REF!, Tableau5[Code sandre], Tableau5[Code sandre],, 0) &lt;&gt; "", 1, ""), "")</f>
        <v/>
      </c>
    </row>
    <row r="999">
      <c r="A999" s="14" t="inlineStr">
        <is>
          <t>NTK</t>
        </is>
      </c>
      <c r="C999" s="1" t="n">
        <v>1319</v>
      </c>
      <c r="E999">
        <f>IFERROR(IF(_xlfn.XLOOKUP(#REF!, Tableau5[Code sandre], Tableau5[Code sandre],, 0) &lt;&gt; "", 1, ""), "")</f>
        <v/>
      </c>
    </row>
    <row r="1000">
      <c r="A1000" s="14" t="inlineStr">
        <is>
          <t>O_DESMETHYLTRAMADOL</t>
        </is>
      </c>
      <c r="B1000" t="inlineStr">
        <is>
          <t>73986-53-5</t>
        </is>
      </c>
      <c r="C1000" s="1" t="n">
        <v>6767</v>
      </c>
      <c r="E1000">
        <f>IFERROR(IF(_xlfn.XLOOKUP(#REF!, Tableau5[Code sandre], Tableau5[Code sandre],, 0) &lt;&gt; "", 1, ""), "")</f>
        <v/>
      </c>
    </row>
    <row r="1001">
      <c r="A1001" s="14" t="inlineStr">
        <is>
          <t>O-CRESOL</t>
        </is>
      </c>
      <c r="B1001" t="inlineStr">
        <is>
          <t>95-48-7</t>
        </is>
      </c>
      <c r="C1001" s="1" t="n">
        <v>1640</v>
      </c>
      <c r="E1001">
        <f>IFERROR(IF(_xlfn.XLOOKUP(#REF!, Tableau5[Code sandre], Tableau5[Code sandre],, 0) &lt;&gt; "", 1, ""), "")</f>
        <v/>
      </c>
    </row>
    <row r="1002">
      <c r="A1002" s="14" t="inlineStr">
        <is>
          <t>ODEUR</t>
        </is>
      </c>
      <c r="C1002" s="1" t="n">
        <v>5901</v>
      </c>
      <c r="D1002" t="inlineStr">
        <is>
          <t>ALDR</t>
        </is>
      </c>
      <c r="E1002">
        <f>IFERROR(IF(_xlfn.XLOOKUP(#REF!, Tableau5[Code sandre], Tableau5[Code sandre],, 0) &lt;&gt; "", 1, ""), "")</f>
        <v/>
      </c>
    </row>
    <row r="1003">
      <c r="A1003" s="14" t="inlineStr">
        <is>
          <t>ODEUR_IN_SITU</t>
        </is>
      </c>
      <c r="C1003" s="1" t="n">
        <v>5901</v>
      </c>
      <c r="E1003">
        <f>IFERROR(IF(_xlfn.XLOOKUP(#REF!, Tableau5[Code sandre], Tableau5[Code sandre],, 0) &lt;&gt; "", 1, ""), "")</f>
        <v/>
      </c>
    </row>
    <row r="1004">
      <c r="A1004" s="14" t="inlineStr">
        <is>
          <t>O-ETHYLTOLUENE</t>
        </is>
      </c>
      <c r="B1004" t="inlineStr">
        <is>
          <t>611-14-3</t>
        </is>
      </c>
      <c r="C1004" s="1" t="n">
        <v>2717</v>
      </c>
      <c r="E1004">
        <f>IFERROR(IF(_xlfn.XLOOKUP(#REF!, Tableau5[Code sandre], Tableau5[Code sandre],, 0) &lt;&gt; "", 1, ""), "")</f>
        <v/>
      </c>
    </row>
    <row r="1005">
      <c r="A1005" s="14" t="inlineStr">
        <is>
          <t>OMETHOATE</t>
        </is>
      </c>
      <c r="B1005" t="inlineStr">
        <is>
          <t>1113-02-6</t>
        </is>
      </c>
      <c r="C1005" s="1" t="n">
        <v>1230</v>
      </c>
      <c r="E1005">
        <f>IFERROR(IF(_xlfn.XLOOKUP(#REF!, Tableau5[Code sandre], Tableau5[Code sandre],, 0) &lt;&gt; "", 1, ""), "")</f>
        <v/>
      </c>
    </row>
    <row r="1006">
      <c r="A1006" s="14" t="inlineStr">
        <is>
          <t>OP_DDD</t>
        </is>
      </c>
      <c r="B1006" t="inlineStr">
        <is>
          <t>53-19-0</t>
        </is>
      </c>
      <c r="C1006" s="1" t="n">
        <v>1143</v>
      </c>
      <c r="E1006">
        <f>IFERROR(IF(_xlfn.XLOOKUP(#REF!, Tableau5[Code sandre], Tableau5[Code sandre],, 0) &lt;&gt; "", 1, ""), "")</f>
        <v/>
      </c>
    </row>
    <row r="1007">
      <c r="A1007" s="14" t="inlineStr">
        <is>
          <t>OP_DDE</t>
        </is>
      </c>
      <c r="B1007" t="inlineStr">
        <is>
          <t>3424-82-6</t>
        </is>
      </c>
      <c r="C1007" s="1" t="n">
        <v>1145</v>
      </c>
      <c r="E1007">
        <f>IFERROR(IF(_xlfn.XLOOKUP(#REF!, Tableau5[Code sandre], Tableau5[Code sandre],, 0) &lt;&gt; "", 1, ""), "")</f>
        <v/>
      </c>
    </row>
    <row r="1008">
      <c r="A1008" s="14" t="inlineStr">
        <is>
          <t>OP_DDT</t>
        </is>
      </c>
      <c r="B1008" t="inlineStr">
        <is>
          <t>789-02-6</t>
        </is>
      </c>
      <c r="C1008" s="1" t="n">
        <v>1147</v>
      </c>
      <c r="E1008">
        <f>IFERROR(IF(_xlfn.XLOOKUP(#REF!, Tableau5[Code sandre], Tableau5[Code sandre],, 0) &lt;&gt; "", 1, ""), "")</f>
        <v/>
      </c>
    </row>
    <row r="1009">
      <c r="A1009" s="14" t="inlineStr">
        <is>
          <t>OP1EO_CAS_2315-67-5</t>
        </is>
      </c>
      <c r="B1009" t="inlineStr">
        <is>
          <t>2315-67-5</t>
        </is>
      </c>
      <c r="C1009" s="1" t="n">
        <v>6370</v>
      </c>
      <c r="E1009">
        <f>IFERROR(IF(_xlfn.XLOOKUP(#REF!, Tableau5[Code sandre], Tableau5[Code sandre],, 0) &lt;&gt; "", 1, ""), "")</f>
        <v/>
      </c>
    </row>
    <row r="1010">
      <c r="A1010" s="14" t="inlineStr">
        <is>
          <t>OP2EO_(CAS_2315-61-9)</t>
        </is>
      </c>
      <c r="B1010" t="inlineStr">
        <is>
          <t>2315-61-9</t>
        </is>
      </c>
      <c r="C1010" s="1" t="n">
        <v>6371</v>
      </c>
      <c r="E1010">
        <f>IFERROR(IF(_xlfn.XLOOKUP(#REF!, Tableau5[Code sandre], Tableau5[Code sandre],, 0) &lt;&gt; "", 1, ""), "")</f>
        <v/>
      </c>
    </row>
    <row r="1011">
      <c r="A1011" s="14" t="inlineStr">
        <is>
          <t>OR</t>
        </is>
      </c>
      <c r="C1011" s="1" t="n">
        <v>6065</v>
      </c>
      <c r="E1011">
        <f>IFERROR(IF(_xlfn.XLOOKUP(#REF!, Tableau5[Code sandre], Tableau5[Code sandre],, 0) &lt;&gt; "", 1, ""), "")</f>
        <v/>
      </c>
    </row>
    <row r="1012">
      <c r="A1012" s="14" t="inlineStr">
        <is>
          <t>ORTHOPHOSPHATES_P2O5</t>
        </is>
      </c>
      <c r="C1012" s="1" t="n">
        <v>1350</v>
      </c>
      <c r="E1012">
        <f>IFERROR(IF(_xlfn.XLOOKUP(#REF!, Tableau5[Code sandre], Tableau5[Code sandre],, 0) &lt;&gt; "", 1, ""), "")</f>
        <v/>
      </c>
    </row>
    <row r="1013">
      <c r="A1013" s="14" t="inlineStr">
        <is>
          <t>ORTHOPHOSPHATES_PO4</t>
        </is>
      </c>
      <c r="B1013" t="inlineStr">
        <is>
          <t>14265-44-2</t>
        </is>
      </c>
      <c r="C1013" s="1" t="n">
        <v>1433</v>
      </c>
      <c r="D1013" t="inlineStr">
        <is>
          <t>12DCET</t>
        </is>
      </c>
      <c r="E1013">
        <f>IFERROR(IF(_xlfn.XLOOKUP(#REF!, Tableau5[Code sandre], Tableau5[Code sandre],, 0) &lt;&gt; "", 1, ""), "")</f>
        <v/>
      </c>
    </row>
    <row r="1014">
      <c r="A1014" s="14" t="inlineStr">
        <is>
          <t>ORTHO-TOLUIDINE</t>
        </is>
      </c>
      <c r="B1014" t="inlineStr">
        <is>
          <t>95-53-4</t>
        </is>
      </c>
      <c r="C1014" s="1" t="n">
        <v>3356</v>
      </c>
      <c r="E1014">
        <f>IFERROR(IF(_xlfn.XLOOKUP(#REF!, Tableau5[Code sandre], Tableau5[Code sandre],, 0) &lt;&gt; "", 1, ""), "")</f>
        <v/>
      </c>
    </row>
    <row r="1015">
      <c r="A1015" s="14" t="inlineStr">
        <is>
          <t>ORYZALIN</t>
        </is>
      </c>
      <c r="B1015" t="inlineStr">
        <is>
          <t>19044-88-3</t>
        </is>
      </c>
      <c r="C1015" s="1" t="n">
        <v>1668</v>
      </c>
      <c r="E1015">
        <f>IFERROR(IF(_xlfn.XLOOKUP(#REF!, Tableau5[Code sandre], Tableau5[Code sandre],, 0) &lt;&gt; "", 1, ""), "")</f>
        <v/>
      </c>
    </row>
    <row r="1016">
      <c r="A1016" s="14" t="inlineStr">
        <is>
          <t>OXADIARGYL</t>
        </is>
      </c>
      <c r="B1016" t="inlineStr">
        <is>
          <t>39807-15-3</t>
        </is>
      </c>
      <c r="C1016" s="1" t="n">
        <v>2068</v>
      </c>
      <c r="E1016">
        <f>IFERROR(IF(_xlfn.XLOOKUP(#REF!, Tableau5[Code sandre], Tableau5[Code sandre],, 0) &lt;&gt; "", 1, ""), "")</f>
        <v/>
      </c>
    </row>
    <row r="1017">
      <c r="A1017" s="14" t="inlineStr">
        <is>
          <t>OXADIAZON</t>
        </is>
      </c>
      <c r="B1017" t="inlineStr">
        <is>
          <t>19666-30-9</t>
        </is>
      </c>
      <c r="C1017" s="1" t="n">
        <v>1667</v>
      </c>
      <c r="E1017">
        <f>IFERROR(IF(_xlfn.XLOOKUP(#REF!, Tableau5[Code sandre], Tableau5[Code sandre],, 0) &lt;&gt; "", 1, ""), "")</f>
        <v/>
      </c>
    </row>
    <row r="1018">
      <c r="A1018" s="14" t="inlineStr">
        <is>
          <t>OXADIAZON_ST</t>
        </is>
      </c>
      <c r="C1018" s="1" t="n">
        <v>1667</v>
      </c>
      <c r="E1018">
        <f>IFERROR(IF(_xlfn.XLOOKUP(#REF!, Tableau5[Code sandre], Tableau5[Code sandre],, 0) &lt;&gt; "", 1, ""), "")</f>
        <v/>
      </c>
    </row>
    <row r="1019">
      <c r="A1019" s="14" t="inlineStr">
        <is>
          <t>OXADIXYL</t>
        </is>
      </c>
      <c r="B1019" t="inlineStr">
        <is>
          <t>77732-09-3</t>
        </is>
      </c>
      <c r="C1019" s="1" t="n">
        <v>1666</v>
      </c>
      <c r="E1019">
        <f>IFERROR(IF(_xlfn.XLOOKUP(#REF!, Tableau5[Code sandre], Tableau5[Code sandre],, 0) &lt;&gt; "", 1, ""), "")</f>
        <v/>
      </c>
    </row>
    <row r="1020">
      <c r="A1020" s="14" t="inlineStr">
        <is>
          <t>OXAZEPAM</t>
        </is>
      </c>
      <c r="B1020" t="inlineStr">
        <is>
          <t>604-75-1</t>
        </is>
      </c>
      <c r="C1020" s="1" t="n">
        <v>5375</v>
      </c>
      <c r="E1020">
        <f>IFERROR(IF(_xlfn.XLOOKUP(#REF!, Tableau5[Code sandre], Tableau5[Code sandre],, 0) &lt;&gt; "", 1, ""), "")</f>
        <v/>
      </c>
    </row>
    <row r="1021">
      <c r="A1021" s="14" t="inlineStr">
        <is>
          <t>OXYCHLORDANE</t>
        </is>
      </c>
      <c r="B1021" t="inlineStr">
        <is>
          <t>27304-13-8</t>
        </is>
      </c>
      <c r="C1021" s="1" t="n">
        <v>1848</v>
      </c>
      <c r="E1021">
        <f>IFERROR(IF(_xlfn.XLOOKUP(#REF!, Tableau5[Code sandre], Tableau5[Code sandre],, 0) &lt;&gt; "", 1, ""), "")</f>
        <v/>
      </c>
    </row>
    <row r="1022">
      <c r="A1022" s="14" t="inlineStr">
        <is>
          <t>OXYDEMETON_METHYL</t>
        </is>
      </c>
      <c r="B1022" t="inlineStr">
        <is>
          <t>301-12-2</t>
        </is>
      </c>
      <c r="C1022" s="1" t="n">
        <v>1231</v>
      </c>
      <c r="E1022">
        <f>IFERROR(IF(_xlfn.XLOOKUP(#REF!, Tableau5[Code sandre], Tableau5[Code sandre],, 0) &lt;&gt; "", 1, ""), "")</f>
        <v/>
      </c>
    </row>
    <row r="1023">
      <c r="A1023" s="14" t="inlineStr">
        <is>
          <t>OXYFLUORFENE</t>
        </is>
      </c>
      <c r="B1023" t="inlineStr">
        <is>
          <t>42874-03-3</t>
        </is>
      </c>
      <c r="C1023" s="1" t="n">
        <v>1952</v>
      </c>
      <c r="E1023">
        <f>IFERROR(IF(_xlfn.XLOOKUP(#REF!, Tableau5[Code sandre], Tableau5[Code sandre],, 0) &lt;&gt; "", 1, ""), "")</f>
        <v/>
      </c>
    </row>
    <row r="1024">
      <c r="A1024" s="14" t="inlineStr">
        <is>
          <t>OXYGENE_DISSOUS</t>
        </is>
      </c>
      <c r="B1024" t="inlineStr">
        <is>
          <t>7782-44-7</t>
        </is>
      </c>
      <c r="C1024" s="1" t="n">
        <v>1311</v>
      </c>
      <c r="D1024" t="inlineStr">
        <is>
          <t>BAPYR</t>
        </is>
      </c>
      <c r="E1024">
        <f>IFERROR(IF(_xlfn.XLOOKUP(#REF!, Tableau5[Code sandre], Tableau5[Code sandre],, 0) &lt;&gt; "", 1, ""), "")</f>
        <v/>
      </c>
    </row>
    <row r="1025">
      <c r="A1025" s="14" t="inlineStr">
        <is>
          <t>OXYGENE_DISSOUS_IN_SITU</t>
        </is>
      </c>
      <c r="B1025" t="inlineStr">
        <is>
          <t>7782-44-7</t>
        </is>
      </c>
      <c r="C1025" s="1" t="n">
        <v>1311</v>
      </c>
      <c r="E1025">
        <f>IFERROR(IF(_xlfn.XLOOKUP(#REF!, Tableau5[Code sandre], Tableau5[Code sandre],, 0) &lt;&gt; "", 1, ""), "")</f>
        <v/>
      </c>
    </row>
    <row r="1026">
      <c r="A1026" s="14" t="inlineStr">
        <is>
          <t>OXYGENE_DISSOUS_TOXICITE</t>
        </is>
      </c>
      <c r="B1026" t="inlineStr">
        <is>
          <t>7782-44-7</t>
        </is>
      </c>
      <c r="C1026" s="1" t="n">
        <v>1311</v>
      </c>
      <c r="E1026">
        <f>IFERROR(IF(_xlfn.XLOOKUP(#REF!, Tableau5[Code sandre], Tableau5[Code sandre],, 0) &lt;&gt; "", 1, ""), "")</f>
        <v/>
      </c>
    </row>
    <row r="1027">
      <c r="A1027" s="14" t="inlineStr">
        <is>
          <t>O-XYLENE</t>
        </is>
      </c>
      <c r="B1027" t="inlineStr">
        <is>
          <t>95-47-6</t>
        </is>
      </c>
      <c r="C1027" s="1" t="n">
        <v>1292</v>
      </c>
      <c r="E1027">
        <f>IFERROR(IF(_xlfn.XLOOKUP(#REF!, Tableau5[Code sandre], Tableau5[Code sandre],, 0) &lt;&gt; "", 1, ""), "")</f>
        <v/>
      </c>
    </row>
    <row r="1028">
      <c r="A1028" s="14" t="inlineStr">
        <is>
          <t>P_DE_F__MONOCHLORODIBROMOMETHANE</t>
        </is>
      </c>
      <c r="B1028" t="inlineStr">
        <is>
          <t>124-48-1</t>
        </is>
      </c>
      <c r="C1028" s="1" t="n">
        <v>1158</v>
      </c>
      <c r="E1028">
        <f>IFERROR(IF(_xlfn.XLOOKUP(#REF!, Tableau5[Code sandre], Tableau5[Code sandre],, 0) &lt;&gt; "", 1, ""), "")</f>
        <v/>
      </c>
    </row>
    <row r="1029">
      <c r="A1029" s="14" t="inlineStr">
        <is>
          <t>P_DE_F_ACIDE_ACIDE_DICHLOROACETIQUE</t>
        </is>
      </c>
      <c r="B1029" t="inlineStr">
        <is>
          <t>79-43-6</t>
        </is>
      </c>
      <c r="C1029" s="1" t="n">
        <v>1481</v>
      </c>
      <c r="E1029">
        <f>IFERROR(IF(_xlfn.XLOOKUP(#REF!, Tableau5[Code sandre], Tableau5[Code sandre],, 0) &lt;&gt; "", 1, ""), "")</f>
        <v/>
      </c>
    </row>
    <row r="1030">
      <c r="A1030" s="14" t="inlineStr">
        <is>
          <t>P_DE_F_ACIDE_DIBROMOACETIQUE</t>
        </is>
      </c>
      <c r="B1030" t="inlineStr">
        <is>
          <t xml:space="preserve">79-08-3 </t>
        </is>
      </c>
      <c r="C1030" s="1" t="n">
        <v>5427</v>
      </c>
      <c r="E1030">
        <f>IFERROR(IF(_xlfn.XLOOKUP(#REF!, Tableau5[Code sandre], Tableau5[Code sandre],, 0) &lt;&gt; "", 1, ""), "")</f>
        <v/>
      </c>
    </row>
    <row r="1031">
      <c r="A1031" s="14" t="inlineStr">
        <is>
          <t>P_DE_F_ACIDE_MONOCHLOROACETIQUE</t>
        </is>
      </c>
      <c r="B1031" t="inlineStr">
        <is>
          <t>79-11-8</t>
        </is>
      </c>
      <c r="C1031" s="1" t="n">
        <v>1465</v>
      </c>
      <c r="E1031">
        <f>IFERROR(IF(_xlfn.XLOOKUP(#REF!, Tableau5[Code sandre], Tableau5[Code sandre],, 0) &lt;&gt; "", 1, ""), "")</f>
        <v/>
      </c>
    </row>
    <row r="1032">
      <c r="A1032" s="14" t="inlineStr">
        <is>
          <t>P_DE_F_ACIDE_TRICHLOROACETIQUE</t>
        </is>
      </c>
      <c r="B1032" t="inlineStr">
        <is>
          <t>76-03-9</t>
        </is>
      </c>
      <c r="C1032" s="1" t="n">
        <v>1546</v>
      </c>
      <c r="E1032">
        <f>IFERROR(IF(_xlfn.XLOOKUP(#REF!, Tableau5[Code sandre], Tableau5[Code sandre],, 0) &lt;&gt; "", 1, ""), "")</f>
        <v/>
      </c>
    </row>
    <row r="1033">
      <c r="A1033" s="14" t="inlineStr">
        <is>
          <t>P_DE_F_ACIDES_HALOACETIQUES_4_SUBST.</t>
        </is>
      </c>
      <c r="C1033" s="1" t="n">
        <v>9064</v>
      </c>
      <c r="E1033">
        <f>IFERROR(IF(_xlfn.XLOOKUP(#REF!, Tableau5[Code sandre], Tableau5[Code sandre],, 0) &lt;&gt; "", 1, ""), "")</f>
        <v/>
      </c>
    </row>
    <row r="1034">
      <c r="A1034" s="14" t="inlineStr">
        <is>
          <t>P_DE_F_BROMOFORME</t>
        </is>
      </c>
      <c r="B1034" t="inlineStr">
        <is>
          <t>75-25-2</t>
        </is>
      </c>
      <c r="C1034" s="1" t="n">
        <v>1122</v>
      </c>
      <c r="E1034">
        <f>IFERROR(IF(_xlfn.XLOOKUP(#REF!, Tableau5[Code sandre], Tableau5[Code sandre],, 0) &lt;&gt; "", 1, ""), "")</f>
        <v/>
      </c>
    </row>
    <row r="1035">
      <c r="A1035" s="14" t="inlineStr">
        <is>
          <t>P_DE_F_DICHLOROMONOBROMOMETHANE</t>
        </is>
      </c>
      <c r="B1035" t="inlineStr">
        <is>
          <t>75-27-4</t>
        </is>
      </c>
      <c r="C1035" s="1" t="n">
        <v>1167</v>
      </c>
      <c r="E1035">
        <f>IFERROR(IF(_xlfn.XLOOKUP(#REF!, Tableau5[Code sandre], Tableau5[Code sandre],, 0) &lt;&gt; "", 1, ""), "")</f>
        <v/>
      </c>
    </row>
    <row r="1036">
      <c r="A1036" s="14" t="inlineStr">
        <is>
          <t>PACLOBUTRAZOL</t>
        </is>
      </c>
      <c r="B1036" t="inlineStr">
        <is>
          <t>76738-62-0</t>
        </is>
      </c>
      <c r="C1036" s="1" t="n">
        <v>2545</v>
      </c>
      <c r="E1036">
        <f>IFERROR(IF(_xlfn.XLOOKUP(#REF!, Tableau5[Code sandre], Tableau5[Code sandre],, 0) &lt;&gt; "", 1, ""), "")</f>
        <v/>
      </c>
    </row>
    <row r="1037">
      <c r="A1037" s="14" t="inlineStr">
        <is>
          <t>PALLADIUM</t>
        </is>
      </c>
      <c r="B1037" t="inlineStr">
        <is>
          <t xml:space="preserve">
7440-05-3</t>
        </is>
      </c>
      <c r="C1037" s="1" t="n">
        <v>2792</v>
      </c>
      <c r="D1037" t="inlineStr">
        <is>
          <t>ARC60</t>
        </is>
      </c>
      <c r="E1037">
        <f>IFERROR(IF(_xlfn.XLOOKUP(#REF!, Tableau5[Code sandre], Tableau5[Code sandre],, 0) &lt;&gt; "", 1, ""), "")</f>
        <v/>
      </c>
    </row>
    <row r="1038">
      <c r="A1038" s="14" t="inlineStr">
        <is>
          <t>PARACETAMOL</t>
        </is>
      </c>
      <c r="B1038" t="inlineStr">
        <is>
          <t>103-90-2</t>
        </is>
      </c>
      <c r="C1038" s="1" t="n">
        <v>5354</v>
      </c>
      <c r="E1038">
        <f>IFERROR(IF(_xlfn.XLOOKUP(#REF!, Tableau5[Code sandre], Tableau5[Code sandre],, 0) &lt;&gt; "", 1, ""), "")</f>
        <v/>
      </c>
    </row>
    <row r="1039">
      <c r="A1039" s="14" t="inlineStr">
        <is>
          <t>PARATHION_ETHYL</t>
        </is>
      </c>
      <c r="B1039" t="inlineStr">
        <is>
          <t>56-38-2</t>
        </is>
      </c>
      <c r="C1039" s="1" t="n">
        <v>1232</v>
      </c>
      <c r="E1039">
        <f>IFERROR(IF(_xlfn.XLOOKUP(#REF!, Tableau5[Code sandre], Tableau5[Code sandre],, 0) &lt;&gt; "", 1, ""), "")</f>
        <v/>
      </c>
    </row>
    <row r="1040">
      <c r="A1040" s="14" t="inlineStr">
        <is>
          <t>PARATHION_METHYL</t>
        </is>
      </c>
      <c r="B1040" t="inlineStr">
        <is>
          <t>298-00-0</t>
        </is>
      </c>
      <c r="C1040" s="1" t="n">
        <v>1233</v>
      </c>
      <c r="E1040">
        <f>IFERROR(IF(_xlfn.XLOOKUP(#REF!, Tableau5[Code sandre], Tableau5[Code sandre],, 0) &lt;&gt; "", 1, ""), "")</f>
        <v/>
      </c>
    </row>
    <row r="1041">
      <c r="A1041" s="14" t="inlineStr">
        <is>
          <t>PCB_101</t>
        </is>
      </c>
      <c r="B1041" t="inlineStr">
        <is>
          <t>37680-73-2</t>
        </is>
      </c>
      <c r="C1041" s="1" t="n">
        <v>1242</v>
      </c>
      <c r="E1041">
        <f>IFERROR(IF(_xlfn.XLOOKUP(#REF!, Tableau5[Code sandre], Tableau5[Code sandre],, 0) &lt;&gt; "", 1, ""), "")</f>
        <v/>
      </c>
    </row>
    <row r="1042">
      <c r="A1042" s="14" t="inlineStr">
        <is>
          <t>PCB_118</t>
        </is>
      </c>
      <c r="B1042" t="inlineStr">
        <is>
          <t>31508-00-6</t>
        </is>
      </c>
      <c r="C1042" s="1" t="n">
        <v>1243</v>
      </c>
      <c r="E1042">
        <f>IFERROR(IF(_xlfn.XLOOKUP(#REF!, Tableau5[Code sandre], Tableau5[Code sandre],, 0) &lt;&gt; "", 1, ""), "")</f>
        <v/>
      </c>
    </row>
    <row r="1043">
      <c r="A1043" s="14" t="inlineStr">
        <is>
          <t>PCB_138</t>
        </is>
      </c>
      <c r="B1043" t="inlineStr">
        <is>
          <t>35065-28-2</t>
        </is>
      </c>
      <c r="C1043" s="1" t="n">
        <v>1244</v>
      </c>
      <c r="E1043">
        <f>IFERROR(IF(_xlfn.XLOOKUP(#REF!, Tableau5[Code sandre], Tableau5[Code sandre],, 0) &lt;&gt; "", 1, ""), "")</f>
        <v/>
      </c>
    </row>
    <row r="1044">
      <c r="A1044" s="14" t="inlineStr">
        <is>
          <t>PCB_153</t>
        </is>
      </c>
      <c r="B1044" t="inlineStr">
        <is>
          <t>35065-27-1</t>
        </is>
      </c>
      <c r="C1044" s="1" t="n">
        <v>1245</v>
      </c>
      <c r="E1044">
        <f>IFERROR(IF(_xlfn.XLOOKUP(#REF!, Tableau5[Code sandre], Tableau5[Code sandre],, 0) &lt;&gt; "", 1, ""), "")</f>
        <v/>
      </c>
    </row>
    <row r="1045">
      <c r="A1045" s="14" t="inlineStr">
        <is>
          <t>PCB_180</t>
        </is>
      </c>
      <c r="B1045" t="inlineStr">
        <is>
          <t>35065-29-3</t>
        </is>
      </c>
      <c r="C1045" s="1" t="n">
        <v>1246</v>
      </c>
      <c r="D1045" t="inlineStr">
        <is>
          <t>NH4</t>
        </is>
      </c>
      <c r="E1045">
        <f>IFERROR(IF(_xlfn.XLOOKUP(#REF!, Tableau5[Code sandre], Tableau5[Code sandre],, 0) &lt;&gt; "", 1, ""), "")</f>
        <v/>
      </c>
    </row>
    <row r="1046">
      <c r="A1046" s="14" t="inlineStr">
        <is>
          <t>PCB_194</t>
        </is>
      </c>
      <c r="B1046" t="inlineStr">
        <is>
          <t>35694-08-7</t>
        </is>
      </c>
      <c r="C1046" s="1" t="n">
        <v>1625</v>
      </c>
      <c r="E1046">
        <f>IFERROR(IF(_xlfn.XLOOKUP(#REF!, Tableau5[Code sandre], Tableau5[Code sandre],, 0) &lt;&gt; "", 1, ""), "")</f>
        <v/>
      </c>
    </row>
    <row r="1047">
      <c r="A1047" s="14" t="inlineStr">
        <is>
          <t>PCB_28</t>
        </is>
      </c>
      <c r="B1047" t="inlineStr">
        <is>
          <t>7012-37-5</t>
        </is>
      </c>
      <c r="C1047" s="1" t="n">
        <v>1239</v>
      </c>
      <c r="E1047">
        <f>IFERROR(IF(_xlfn.XLOOKUP(#REF!, Tableau5[Code sandre], Tableau5[Code sandre],, 0) &lt;&gt; "", 1, ""), "")</f>
        <v/>
      </c>
    </row>
    <row r="1048">
      <c r="A1048" s="14" t="inlineStr">
        <is>
          <t>PCB_52</t>
        </is>
      </c>
      <c r="B1048" t="inlineStr">
        <is>
          <t>35693-99-3</t>
        </is>
      </c>
      <c r="C1048" s="1" t="n">
        <v>1241</v>
      </c>
      <c r="E1048">
        <f>IFERROR(IF(_xlfn.XLOOKUP(#REF!, Tableau5[Code sandre], Tableau5[Code sandre],, 0) &lt;&gt; "", 1, ""), "")</f>
        <v/>
      </c>
    </row>
    <row r="1049">
      <c r="A1049" s="14" t="inlineStr">
        <is>
          <t>PCB_TOTAUX</t>
        </is>
      </c>
      <c r="C1049" s="1" t="n">
        <v>1434</v>
      </c>
      <c r="D1049" t="inlineStr">
        <is>
          <t>ASP</t>
        </is>
      </c>
      <c r="E1049">
        <f>IFERROR(IF(_xlfn.XLOOKUP(#REF!, Tableau5[Code sandre], Tableau5[Code sandre],, 0) &lt;&gt; "", 1, ""), "")</f>
        <v/>
      </c>
    </row>
    <row r="1050">
      <c r="A1050" s="14" t="inlineStr">
        <is>
          <t>P-CRESOL</t>
        </is>
      </c>
      <c r="B1050" t="inlineStr">
        <is>
          <t>106-44-5</t>
        </is>
      </c>
      <c r="C1050" s="1" t="n">
        <v>1638</v>
      </c>
      <c r="E1050">
        <f>IFERROR(IF(_xlfn.XLOOKUP(#REF!, Tableau5[Code sandre], Tableau5[Code sandre],, 0) &lt;&gt; "", 1, ""), "")</f>
        <v/>
      </c>
    </row>
    <row r="1051">
      <c r="A1051" s="14" t="inlineStr">
        <is>
          <t>PENCONAZOLE</t>
        </is>
      </c>
      <c r="B1051" t="inlineStr">
        <is>
          <t>66246-88-6</t>
        </is>
      </c>
      <c r="C1051" s="1" t="n">
        <v>1762</v>
      </c>
      <c r="E1051">
        <f>IFERROR(IF(_xlfn.XLOOKUP(#REF!, Tableau5[Code sandre], Tableau5[Code sandre],, 0) &lt;&gt; "", 1, ""), "")</f>
        <v/>
      </c>
    </row>
    <row r="1052">
      <c r="A1052" s="14" t="inlineStr">
        <is>
          <t>PENCYCURON</t>
        </is>
      </c>
      <c r="B1052" t="inlineStr">
        <is>
          <t>66063-05-6</t>
        </is>
      </c>
      <c r="C1052" s="1" t="n">
        <v>1887</v>
      </c>
      <c r="E1052">
        <f>IFERROR(IF(_xlfn.XLOOKUP(#REF!, Tableau5[Code sandre], Tableau5[Code sandre],, 0) &lt;&gt; "", 1, ""), "")</f>
        <v/>
      </c>
    </row>
    <row r="1053">
      <c r="A1053" s="14" t="inlineStr">
        <is>
          <t>PENDIMETHALINE</t>
        </is>
      </c>
      <c r="B1053" t="inlineStr">
        <is>
          <t>40487-42-1</t>
        </is>
      </c>
      <c r="C1053" s="1" t="n">
        <v>1234</v>
      </c>
      <c r="E1053">
        <f>IFERROR(IF(_xlfn.XLOOKUP(#REF!, Tableau5[Code sandre], Tableau5[Code sandre],, 0) &lt;&gt; "", 1, ""), "")</f>
        <v/>
      </c>
    </row>
    <row r="1054">
      <c r="A1054" s="14" t="inlineStr">
        <is>
          <t>PENDIMETHALINE_ST</t>
        </is>
      </c>
      <c r="C1054" s="1" t="n">
        <v>1234</v>
      </c>
      <c r="E1054">
        <f>IFERROR(IF(_xlfn.XLOOKUP(#REF!, Tableau5[Code sandre], Tableau5[Code sandre],, 0) &lt;&gt; "", 1, ""), "")</f>
        <v/>
      </c>
    </row>
    <row r="1055">
      <c r="A1055" s="14" t="inlineStr">
        <is>
          <t>PENTABROMODIPHENYLETHERS_99+100</t>
        </is>
      </c>
      <c r="B1055" t="inlineStr">
        <is>
          <t>32534-81-9</t>
        </is>
      </c>
      <c r="C1055" s="1" t="n">
        <v>1921</v>
      </c>
      <c r="E1055">
        <f>IFERROR(IF(_xlfn.XLOOKUP(#REF!, Tableau5[Code sandre], Tableau5[Code sandre],, 0) &lt;&gt; "", 1, ""), "")</f>
        <v/>
      </c>
    </row>
    <row r="1056">
      <c r="A1056" s="14" t="inlineStr">
        <is>
          <t>PENTACHLOROBENZENE</t>
        </is>
      </c>
      <c r="B1056" t="inlineStr">
        <is>
          <t>608-93-5</t>
        </is>
      </c>
      <c r="C1056" s="1" t="n">
        <v>1888</v>
      </c>
      <c r="E1056">
        <f>IFERROR(IF(_xlfn.XLOOKUP(#REF!, Tableau5[Code sandre], Tableau5[Code sandre],, 0) &lt;&gt; "", 1, ""), "")</f>
        <v/>
      </c>
    </row>
    <row r="1057">
      <c r="A1057" s="14" t="inlineStr">
        <is>
          <t>PENTACHLOROBENZENE_ST</t>
        </is>
      </c>
      <c r="C1057" s="1" t="n">
        <v>1888</v>
      </c>
      <c r="E1057">
        <f>IFERROR(IF(_xlfn.XLOOKUP(#REF!, Tableau5[Code sandre], Tableau5[Code sandre],, 0) &lt;&gt; "", 1, ""), "")</f>
        <v/>
      </c>
    </row>
    <row r="1058">
      <c r="A1058" s="14" t="inlineStr">
        <is>
          <t>PENTACHLOROPHENOL</t>
        </is>
      </c>
      <c r="B1058" t="inlineStr">
        <is>
          <t>87-86-5</t>
        </is>
      </c>
      <c r="C1058" s="1" t="n">
        <v>1235</v>
      </c>
      <c r="E1058">
        <f>IFERROR(IF(_xlfn.XLOOKUP(#REF!, Tableau5[Code sandre], Tableau5[Code sandre],, 0) &lt;&gt; "", 1, ""), "")</f>
        <v/>
      </c>
    </row>
    <row r="1059">
      <c r="A1059" s="14" t="inlineStr">
        <is>
          <t>PENTACHLOROPHENOL_LIBRE</t>
        </is>
      </c>
      <c r="B1059" t="inlineStr">
        <is>
          <t>87-86-5</t>
        </is>
      </c>
      <c r="C1059" s="1" t="n">
        <v>1235</v>
      </c>
      <c r="E1059">
        <f>IFERROR(IF(_xlfn.XLOOKUP(#REF!, Tableau5[Code sandre], Tableau5[Code sandre],, 0) &lt;&gt; "", 1, ""), "")</f>
        <v/>
      </c>
    </row>
    <row r="1060">
      <c r="A1060" s="14" t="inlineStr">
        <is>
          <t>PENTACHLOROPHENOL_TOTAL</t>
        </is>
      </c>
      <c r="B1060" t="inlineStr">
        <is>
          <t>87-86-5</t>
        </is>
      </c>
      <c r="C1060" s="1" t="n">
        <v>1235</v>
      </c>
      <c r="E1060">
        <f>IFERROR(IF(_xlfn.XLOOKUP(#REF!, Tableau5[Code sandre], Tableau5[Code sandre],, 0) &lt;&gt; "", 1, ""), "")</f>
        <v/>
      </c>
    </row>
    <row r="1061">
      <c r="A1061" s="14" t="inlineStr">
        <is>
          <t>PERCHLORATES</t>
        </is>
      </c>
      <c r="B1061" t="inlineStr">
        <is>
          <t>14797-73-0</t>
        </is>
      </c>
      <c r="C1061" s="1" t="n">
        <v>6219</v>
      </c>
      <c r="D1061" t="inlineStr">
        <is>
          <t>24D</t>
        </is>
      </c>
      <c r="E1061">
        <f>IFERROR(IF(_xlfn.XLOOKUP(#REF!, Tableau5[Code sandre], Tableau5[Code sandre],, 0) &lt;&gt; "", 1, ""), "")</f>
        <v/>
      </c>
    </row>
    <row r="1062">
      <c r="A1062" s="14" t="inlineStr">
        <is>
          <t>PERCHLORATES-ST</t>
        </is>
      </c>
      <c r="B1062" t="inlineStr">
        <is>
          <t>7790-98-9</t>
        </is>
      </c>
      <c r="C1062" s="1" t="n">
        <v>6314</v>
      </c>
      <c r="E1062">
        <f>IFERROR(IF(_xlfn.XLOOKUP(#REF!, Tableau5[Code sandre], Tableau5[Code sandre],, 0) &lt;&gt; "", 1, ""), "")</f>
        <v/>
      </c>
    </row>
    <row r="1063">
      <c r="A1063" s="14" t="inlineStr">
        <is>
          <t>PERFLUOROOCTANE_SULFONAMIDE_PFOSA</t>
        </is>
      </c>
      <c r="B1063" t="inlineStr">
        <is>
          <t>754-91-6</t>
        </is>
      </c>
      <c r="C1063" s="1" t="n">
        <v>6548</v>
      </c>
      <c r="E1063">
        <f>IFERROR(IF(_xlfn.XLOOKUP(#REF!, Tableau5[Code sandre], Tableau5[Code sandre],, 0) &lt;&gt; "", 1, ""), "")</f>
        <v/>
      </c>
    </row>
    <row r="1064">
      <c r="A1064" s="14" t="inlineStr">
        <is>
          <t>PERMETHRINE</t>
        </is>
      </c>
      <c r="B1064" t="inlineStr">
        <is>
          <t>52645-53-1</t>
        </is>
      </c>
      <c r="C1064" s="1" t="n">
        <v>1523</v>
      </c>
      <c r="E1064">
        <f>IFERROR(IF(_xlfn.XLOOKUP(#REF!, Tableau5[Code sandre], Tableau5[Code sandre],, 0) &lt;&gt; "", 1, ""), "")</f>
        <v/>
      </c>
    </row>
    <row r="1065">
      <c r="A1065" s="14" t="inlineStr">
        <is>
          <t>PERMETHRINE_CIS_TRANS</t>
        </is>
      </c>
      <c r="B1065" t="inlineStr">
        <is>
          <t>52645-53-1</t>
        </is>
      </c>
      <c r="C1065" s="1" t="n">
        <v>1523</v>
      </c>
      <c r="E1065">
        <f>IFERROR(IF(_xlfn.XLOOKUP(#REF!, Tableau5[Code sandre], Tableau5[Code sandre],, 0) &lt;&gt; "", 1, ""), "")</f>
        <v/>
      </c>
    </row>
    <row r="1066">
      <c r="A1066" s="14" t="inlineStr">
        <is>
          <t>PERYLENE</t>
        </is>
      </c>
      <c r="B1066" t="inlineStr">
        <is>
          <t>198-55-0</t>
        </is>
      </c>
      <c r="C1066" s="1" t="n">
        <v>1620</v>
      </c>
      <c r="E1066">
        <f>IFERROR(IF(_xlfn.XLOOKUP(#REF!, Tableau5[Code sandre], Tableau5[Code sandre],, 0) &lt;&gt; "", 1, ""), "")</f>
        <v/>
      </c>
    </row>
    <row r="1067">
      <c r="A1067" s="14" t="inlineStr">
        <is>
          <t>P-ETHYLPHENOL</t>
        </is>
      </c>
      <c r="B1067" t="inlineStr">
        <is>
          <t>123-07-9</t>
        </is>
      </c>
      <c r="C1067" s="1" t="n">
        <v>3301</v>
      </c>
      <c r="E1067">
        <f>IFERROR(IF(_xlfn.XLOOKUP(#REF!, Tableau5[Code sandre], Tableau5[Code sandre],, 0) &lt;&gt; "", 1, ""), "")</f>
        <v/>
      </c>
    </row>
    <row r="1068">
      <c r="A1068" s="14" t="inlineStr">
        <is>
          <t>P-ETHYLTOLUENE</t>
        </is>
      </c>
      <c r="B1068" t="inlineStr">
        <is>
          <t>622-96-8</t>
        </is>
      </c>
      <c r="C1068" s="1" t="n">
        <v>3305</v>
      </c>
      <c r="E1068">
        <f>IFERROR(IF(_xlfn.XLOOKUP(#REF!, Tableau5[Code sandre], Tableau5[Code sandre],, 0) &lt;&gt; "", 1, ""), "")</f>
        <v/>
      </c>
    </row>
    <row r="1069">
      <c r="A1069" s="14" t="inlineStr">
        <is>
          <t>PFBA</t>
        </is>
      </c>
      <c r="B1069" t="inlineStr">
        <is>
          <t>375-22-4</t>
        </is>
      </c>
      <c r="C1069" s="1" t="n">
        <v>5980</v>
      </c>
      <c r="E1069">
        <f>IFERROR(IF(_xlfn.XLOOKUP(#REF!, Tableau5[Code sandre], Tableau5[Code sandre],, 0) &lt;&gt; "", 1, ""), "")</f>
        <v/>
      </c>
    </row>
    <row r="1070">
      <c r="A1070" s="14" t="inlineStr">
        <is>
          <t>PFBS</t>
        </is>
      </c>
      <c r="B1070" t="inlineStr">
        <is>
          <t>375-73-5</t>
        </is>
      </c>
      <c r="C1070" s="1" t="n">
        <v>6025</v>
      </c>
      <c r="E1070">
        <f>IFERROR(IF(_xlfn.XLOOKUP(#REF!, Tableau5[Code sandre], Tableau5[Code sandre],, 0) &lt;&gt; "", 1, ""), "")</f>
        <v/>
      </c>
    </row>
    <row r="1071">
      <c r="A1071" s="14" t="inlineStr">
        <is>
          <t>PFBSA</t>
        </is>
      </c>
      <c r="B1071" t="inlineStr">
        <is>
          <t>375-73-5</t>
        </is>
      </c>
      <c r="C1071" s="1" t="n">
        <v>6049</v>
      </c>
      <c r="E1071">
        <f>IFERROR(IF(_xlfn.XLOOKUP(#REF!, Tableau5[Code sandre], Tableau5[Code sandre],, 0) &lt;&gt; "", 1, ""), "")</f>
        <v/>
      </c>
    </row>
    <row r="1072">
      <c r="A1072" s="14" t="inlineStr">
        <is>
          <t>PFDA</t>
        </is>
      </c>
      <c r="B1072" t="inlineStr">
        <is>
          <t>335-76-2</t>
        </is>
      </c>
      <c r="C1072" s="1" t="n">
        <v>6509</v>
      </c>
      <c r="E1072">
        <f>IFERROR(IF(_xlfn.XLOOKUP(#REF!, Tableau5[Code sandre], Tableau5[Code sandre],, 0) &lt;&gt; "", 1, ""), "")</f>
        <v/>
      </c>
    </row>
    <row r="1073">
      <c r="A1073" s="14" t="inlineStr">
        <is>
          <t>PFDOA</t>
        </is>
      </c>
      <c r="B1073" t="inlineStr">
        <is>
          <t>307-55-1</t>
        </is>
      </c>
      <c r="C1073" s="1" t="n">
        <v>6507</v>
      </c>
      <c r="E1073">
        <f>IFERROR(IF(_xlfn.XLOOKUP(#REF!, Tableau5[Code sandre], Tableau5[Code sandre],, 0) &lt;&gt; "", 1, ""), "")</f>
        <v/>
      </c>
    </row>
    <row r="1074">
      <c r="A1074" s="14" t="inlineStr">
        <is>
          <t>PFDODS</t>
        </is>
      </c>
      <c r="B1074" t="inlineStr">
        <is>
          <t>79780-39-5</t>
        </is>
      </c>
      <c r="C1074" s="1" t="n">
        <v>8741</v>
      </c>
      <c r="E1074">
        <f>IFERROR(IF(_xlfn.XLOOKUP(#REF!, Tableau5[Code sandre], Tableau5[Code sandre],, 0) &lt;&gt; "", 1, ""), "")</f>
        <v/>
      </c>
    </row>
    <row r="1075">
      <c r="A1075" s="14" t="inlineStr">
        <is>
          <t>PFDS</t>
        </is>
      </c>
      <c r="B1075" t="inlineStr">
        <is>
          <t>335-77-3</t>
        </is>
      </c>
      <c r="C1075" s="1" t="n">
        <v>6550</v>
      </c>
      <c r="E1075">
        <f>IFERROR(IF(_xlfn.XLOOKUP(#REF!, Tableau5[Code sandre], Tableau5[Code sandre],, 0) &lt;&gt; "", 1, ""), "")</f>
        <v/>
      </c>
    </row>
    <row r="1076">
      <c r="A1076" s="14" t="inlineStr">
        <is>
          <t>PFECHS</t>
        </is>
      </c>
      <c r="B1076" t="inlineStr">
        <is>
          <t>646-83-3</t>
        </is>
      </c>
      <c r="C1076" s="1" t="n">
        <v>9180</v>
      </c>
      <c r="E1076">
        <f>IFERROR(IF(_xlfn.XLOOKUP(#REF!, Tableau5[Code sandre], Tableau5[Code sandre],, 0) &lt;&gt; "", 1, ""), "")</f>
        <v/>
      </c>
    </row>
    <row r="1077">
      <c r="A1077" s="14" t="inlineStr">
        <is>
          <t>PFEESA</t>
        </is>
      </c>
      <c r="B1077" t="inlineStr">
        <is>
          <t>113507-82-7</t>
        </is>
      </c>
      <c r="C1077" s="1" t="n">
        <v>9181</v>
      </c>
      <c r="E1077">
        <f>IFERROR(IF(_xlfn.XLOOKUP(#REF!, Tableau5[Code sandre], Tableau5[Code sandre],, 0) &lt;&gt; "", 1, ""), "")</f>
        <v/>
      </c>
    </row>
    <row r="1078">
      <c r="A1078" s="14" t="inlineStr">
        <is>
          <t>PFHPA</t>
        </is>
      </c>
      <c r="B1078" t="inlineStr">
        <is>
          <t>375-85-9</t>
        </is>
      </c>
      <c r="C1078" s="1" t="n">
        <v>5977</v>
      </c>
      <c r="E1078">
        <f>IFERROR(IF(_xlfn.XLOOKUP(#REF!, Tableau5[Code sandre], Tableau5[Code sandre],, 0) &lt;&gt; "", 1, ""), "")</f>
        <v/>
      </c>
    </row>
    <row r="1079">
      <c r="A1079" s="14" t="inlineStr">
        <is>
          <t>PFHPS_ACIDE_PERFLUOROHEPTANE_SULFONIQUE</t>
        </is>
      </c>
      <c r="B1079" t="inlineStr">
        <is>
          <t>375-92-8</t>
        </is>
      </c>
      <c r="C1079" s="1" t="n">
        <v>6542</v>
      </c>
      <c r="E1079">
        <f>IFERROR(IF(_xlfn.XLOOKUP(#REF!, Tableau5[Code sandre], Tableau5[Code sandre],, 0) &lt;&gt; "", 1, ""), "")</f>
        <v/>
      </c>
    </row>
    <row r="1080">
      <c r="A1080" s="14" t="inlineStr">
        <is>
          <t>PFHXA</t>
        </is>
      </c>
      <c r="B1080" t="inlineStr">
        <is>
          <t>307-24-4</t>
        </is>
      </c>
      <c r="C1080" s="1" t="n">
        <v>6830</v>
      </c>
      <c r="E1080">
        <f>IFERROR(IF(_xlfn.XLOOKUP(#REF!, Tableau5[Code sandre], Tableau5[Code sandre],, 0) &lt;&gt; "", 1, ""), "")</f>
        <v/>
      </c>
    </row>
    <row r="1081">
      <c r="A1081" s="14" t="inlineStr">
        <is>
          <t>PFHXS</t>
        </is>
      </c>
      <c r="B1081" t="inlineStr">
        <is>
          <t>355-46-4</t>
        </is>
      </c>
      <c r="C1081" s="1" t="n">
        <v>7315</v>
      </c>
      <c r="E1081">
        <f>IFERROR(IF(_xlfn.XLOOKUP(#REF!, Tableau5[Code sandre], Tableau5[Code sandre],, 0) &lt;&gt; "", 1, ""), "")</f>
        <v/>
      </c>
    </row>
    <row r="1082">
      <c r="A1082" s="14" t="inlineStr">
        <is>
          <t>PFHXS_PERFLUOROHEXANESULFONIC_ACID</t>
        </is>
      </c>
      <c r="B1082" t="inlineStr">
        <is>
          <t>355-46-4</t>
        </is>
      </c>
      <c r="C1082" s="1" t="n">
        <v>6830</v>
      </c>
      <c r="E1082">
        <f>IFERROR(IF(_xlfn.XLOOKUP(#REF!, Tableau5[Code sandre], Tableau5[Code sandre],, 0) &lt;&gt; "", 1, ""), "")</f>
        <v/>
      </c>
    </row>
    <row r="1083">
      <c r="A1083" s="14" t="inlineStr">
        <is>
          <t>PFHXSA</t>
        </is>
      </c>
      <c r="B1083" t="inlineStr">
        <is>
          <t>307-24-4</t>
        </is>
      </c>
      <c r="C1083" s="1" t="n">
        <v>5978</v>
      </c>
      <c r="E1083">
        <f>IFERROR(IF(_xlfn.XLOOKUP(#REF!, Tableau5[Code sandre], Tableau5[Code sandre],, 0) &lt;&gt; "", 1, ""), "")</f>
        <v/>
      </c>
    </row>
    <row r="1084">
      <c r="A1084" s="14" t="inlineStr">
        <is>
          <t>PFMBA</t>
        </is>
      </c>
      <c r="B1084" t="inlineStr">
        <is>
          <t>863090-89-5</t>
        </is>
      </c>
      <c r="C1084" s="1" t="n">
        <v>9182</v>
      </c>
      <c r="E1084">
        <f>IFERROR(IF(_xlfn.XLOOKUP(#REF!, Tableau5[Code sandre], Tableau5[Code sandre],, 0) &lt;&gt; "", 1, ""), "")</f>
        <v/>
      </c>
    </row>
    <row r="1085">
      <c r="A1085" s="14" t="inlineStr">
        <is>
          <t>PFMPA</t>
        </is>
      </c>
      <c r="B1085" t="inlineStr">
        <is>
          <t>377-73-1</t>
        </is>
      </c>
      <c r="C1085" s="1" t="n">
        <v>9183</v>
      </c>
      <c r="E1085">
        <f>IFERROR(IF(_xlfn.XLOOKUP(#REF!, Tableau5[Code sandre], Tableau5[Code sandre],, 0) &lt;&gt; "", 1, ""), "")</f>
        <v/>
      </c>
    </row>
    <row r="1086">
      <c r="A1086" s="14" t="inlineStr">
        <is>
          <t>PFNA</t>
        </is>
      </c>
      <c r="B1086" t="inlineStr">
        <is>
          <t>375-95-1</t>
        </is>
      </c>
      <c r="C1086" s="1" t="n">
        <v>6508</v>
      </c>
      <c r="E1086">
        <f>IFERROR(IF(_xlfn.XLOOKUP(#REF!, Tableau5[Code sandre], Tableau5[Code sandre],, 0) &lt;&gt; "", 1, ""), "")</f>
        <v/>
      </c>
    </row>
    <row r="1087">
      <c r="A1087" s="14" t="inlineStr">
        <is>
          <t>PFNS_ACIDE_PERFLUORONONANESULFONIQUE</t>
        </is>
      </c>
      <c r="B1087" t="inlineStr">
        <is>
          <t>68259-12-1</t>
        </is>
      </c>
      <c r="C1087" s="1" t="n">
        <v>8739</v>
      </c>
      <c r="E1087">
        <f>IFERROR(IF(_xlfn.XLOOKUP(#REF!, Tableau5[Code sandre], Tableau5[Code sandre],, 0) &lt;&gt; "", 1, ""), "")</f>
        <v/>
      </c>
    </row>
    <row r="1088">
      <c r="A1088" s="14" t="inlineStr">
        <is>
          <t>PFOA</t>
        </is>
      </c>
      <c r="B1088" t="inlineStr">
        <is>
          <t>335-67-1</t>
        </is>
      </c>
      <c r="C1088" s="1" t="n">
        <v>5347</v>
      </c>
      <c r="E1088">
        <f>IFERROR(IF(_xlfn.XLOOKUP(#REF!, Tableau5[Code sandre], Tableau5[Code sandre],, 0) &lt;&gt; "", 1, ""), "")</f>
        <v/>
      </c>
    </row>
    <row r="1089">
      <c r="A1089" s="14" t="inlineStr">
        <is>
          <t>PFOS</t>
        </is>
      </c>
      <c r="B1089" t="inlineStr">
        <is>
          <t>1763-23-1</t>
        </is>
      </c>
      <c r="C1089" s="1" t="n">
        <v>6561</v>
      </c>
      <c r="E1089">
        <f>IFERROR(IF(_xlfn.XLOOKUP(#REF!, Tableau5[Code sandre], Tableau5[Code sandre],, 0) &lt;&gt; "", 1, ""), "")</f>
        <v/>
      </c>
    </row>
    <row r="1090">
      <c r="A1090" s="14" t="inlineStr">
        <is>
          <t>PFPEA</t>
        </is>
      </c>
      <c r="B1090" t="inlineStr">
        <is>
          <t>2706-90-3</t>
        </is>
      </c>
      <c r="C1090" s="1" t="n">
        <v>5979</v>
      </c>
      <c r="E1090">
        <f>IFERROR(IF(_xlfn.XLOOKUP(#REF!, Tableau5[Code sandre], Tableau5[Code sandre],, 0) &lt;&gt; "", 1, ""), "")</f>
        <v/>
      </c>
    </row>
    <row r="1091">
      <c r="A1091" s="14" t="inlineStr">
        <is>
          <t>PFPES_ACIDE_PERFLUOROPENTANE_SULFONIQUE</t>
        </is>
      </c>
      <c r="B1091" t="inlineStr">
        <is>
          <t>2706-91-4</t>
        </is>
      </c>
      <c r="C1091" s="1" t="n">
        <v>8738</v>
      </c>
      <c r="E1091">
        <f>IFERROR(IF(_xlfn.XLOOKUP(#REF!, Tableau5[Code sandre], Tableau5[Code sandre],, 0) &lt;&gt; "", 1, ""), "")</f>
        <v/>
      </c>
    </row>
    <row r="1092">
      <c r="A1092" s="14" t="inlineStr">
        <is>
          <t>PFPRA_ACIDE_PERFLUOROPROPANOIQUE</t>
        </is>
      </c>
      <c r="B1092" t="inlineStr">
        <is>
          <t>2706-90-3</t>
        </is>
      </c>
      <c r="C1092" s="1" t="n">
        <v>5979</v>
      </c>
      <c r="E1092">
        <f>IFERROR(IF(_xlfn.XLOOKUP(#REF!, Tableau5[Code sandre], Tableau5[Code sandre],, 0) &lt;&gt; "", 1, ""), "")</f>
        <v/>
      </c>
    </row>
    <row r="1093">
      <c r="A1093" s="14" t="inlineStr">
        <is>
          <t>PFPRS</t>
        </is>
      </c>
      <c r="B1093" t="inlineStr">
        <is>
          <t>423-41-6</t>
        </is>
      </c>
      <c r="C1093" s="1" t="n">
        <v>9122</v>
      </c>
      <c r="E1093">
        <f>IFERROR(IF(_xlfn.XLOOKUP(#REF!, Tableau5[Code sandre], Tableau5[Code sandre],, 0) &lt;&gt; "", 1, ""), "")</f>
        <v/>
      </c>
    </row>
    <row r="1094">
      <c r="A1094" s="14" t="inlineStr">
        <is>
          <t>PFTEDA_ACIDE_PERFLUROTETRADECANOIQUE</t>
        </is>
      </c>
      <c r="B1094" t="inlineStr">
        <is>
          <t>376-06-7</t>
        </is>
      </c>
      <c r="C1094" s="1" t="n">
        <v>6547</v>
      </c>
      <c r="E1094">
        <f>IFERROR(IF(_xlfn.XLOOKUP(#REF!, Tableau5[Code sandre], Tableau5[Code sandre],, 0) &lt;&gt; "", 1, ""), "")</f>
        <v/>
      </c>
    </row>
    <row r="1095">
      <c r="A1095" s="14" t="inlineStr">
        <is>
          <t>PFTRDA_ACIDE_PERFLUOROTRIDECANOIQUE</t>
        </is>
      </c>
      <c r="C1095" t="n">
        <v>6549</v>
      </c>
      <c r="E1095">
        <f>IFERROR(IF(_xlfn.XLOOKUP(#REF!, Tableau5[Code sandre], Tableau5[Code sandre],, 0) &lt;&gt; "", 1, ""), "")</f>
        <v/>
      </c>
    </row>
    <row r="1096">
      <c r="A1096" s="14" t="inlineStr">
        <is>
          <t>PFTRIS_PFTRD_ACIDE_PERFLUOROTRIDECANE_SULFONIQUE_</t>
        </is>
      </c>
      <c r="B1096" t="inlineStr">
        <is>
          <t>791563-89-8</t>
        </is>
      </c>
      <c r="C1096" s="1" t="n">
        <v>8742</v>
      </c>
      <c r="E1096">
        <f>IFERROR(IF(_xlfn.XLOOKUP(#REF!, Tableau5[Code sandre], Tableau5[Code sandre],, 0) &lt;&gt; "", 1, ""), "")</f>
        <v/>
      </c>
    </row>
    <row r="1097">
      <c r="A1097" s="14" t="inlineStr">
        <is>
          <t>PFUNDA_ACIDE_PERFLUOROUNDECANOIQUE</t>
        </is>
      </c>
      <c r="B1097" t="inlineStr">
        <is>
          <t>2058-94-8</t>
        </is>
      </c>
      <c r="C1097" s="1" t="n">
        <v>6510</v>
      </c>
      <c r="E1097">
        <f>IFERROR(IF(_xlfn.XLOOKUP(#REF!, Tableau5[Code sandre], Tableau5[Code sandre],, 0) &lt;&gt; "", 1, ""), "")</f>
        <v/>
      </c>
    </row>
    <row r="1098">
      <c r="A1098" s="14" t="inlineStr">
        <is>
          <t>PFUNS_ACIDE_PERFLUOROUNDECANE_SULFONIQUE</t>
        </is>
      </c>
      <c r="B1098" t="inlineStr">
        <is>
          <t>749786-16-1</t>
        </is>
      </c>
      <c r="C1098" s="1" t="n">
        <v>8740</v>
      </c>
      <c r="E1098">
        <f>IFERROR(IF(_xlfn.XLOOKUP(#REF!, Tableau5[Code sandre], Tableau5[Code sandre],, 0) &lt;&gt; "", 1, ""), "")</f>
        <v/>
      </c>
    </row>
    <row r="1099">
      <c r="A1099" s="14" t="inlineStr">
        <is>
          <t>PH</t>
        </is>
      </c>
      <c r="C1099" s="1" t="n">
        <v>1302</v>
      </c>
      <c r="E1099">
        <f>IFERROR(IF(_xlfn.XLOOKUP(#REF!, Tableau5[Code sandre], Tableau5[Code sandre],, 0) &lt;&gt; "", 1, ""), "")</f>
        <v/>
      </c>
    </row>
    <row r="1100">
      <c r="A1100" s="14" t="inlineStr">
        <is>
          <t>PH_IN_SITU</t>
        </is>
      </c>
      <c r="C1100" s="1" t="n">
        <v>1302</v>
      </c>
      <c r="E1100">
        <f>IFERROR(IF(_xlfn.XLOOKUP(#REF!, Tableau5[Code sandre], Tableau5[Code sandre],, 0) &lt;&gt; "", 1, ""), "")</f>
        <v/>
      </c>
    </row>
    <row r="1101">
      <c r="A1101" s="14" t="inlineStr">
        <is>
          <t>PHENANTHRENE</t>
        </is>
      </c>
      <c r="B1101" t="inlineStr">
        <is>
          <t>85-01-8</t>
        </is>
      </c>
      <c r="C1101" s="1" t="n">
        <v>1524</v>
      </c>
      <c r="E1101">
        <f>IFERROR(IF(_xlfn.XLOOKUP(#REF!, Tableau5[Code sandre], Tableau5[Code sandre],, 0) &lt;&gt; "", 1, ""), "")</f>
        <v/>
      </c>
    </row>
    <row r="1102">
      <c r="A1102" s="14" t="inlineStr">
        <is>
          <t>PHENMEDIPHAM</t>
        </is>
      </c>
      <c r="B1102" t="inlineStr">
        <is>
          <t>13684-63-4</t>
        </is>
      </c>
      <c r="C1102" s="1" t="n">
        <v>1236</v>
      </c>
      <c r="E1102">
        <f>IFERROR(IF(_xlfn.XLOOKUP(#REF!, Tableau5[Code sandre], Tableau5[Code sandre],, 0) &lt;&gt; "", 1, ""), "")</f>
        <v/>
      </c>
    </row>
    <row r="1103">
      <c r="A1103" s="14" t="inlineStr">
        <is>
          <t>PHENOL</t>
        </is>
      </c>
      <c r="B1103" t="inlineStr">
        <is>
          <t>108-95-2</t>
        </is>
      </c>
      <c r="C1103" s="1" t="n">
        <v>5515</v>
      </c>
      <c r="E1103">
        <f>IFERROR(IF(_xlfn.XLOOKUP(#REF!, Tableau5[Code sandre], Tableau5[Code sandre],, 0) &lt;&gt; "", 1, ""), "")</f>
        <v/>
      </c>
    </row>
    <row r="1104">
      <c r="A1104" s="14" t="inlineStr">
        <is>
          <t>PHENOL_IN_SITU</t>
        </is>
      </c>
      <c r="B1104" t="inlineStr">
        <is>
          <t>108-95-2</t>
        </is>
      </c>
      <c r="C1104" s="1" t="n">
        <v>5515</v>
      </c>
      <c r="E1104">
        <f>IFERROR(IF(_xlfn.XLOOKUP(#REF!, Tableau5[Code sandre], Tableau5[Code sandre],, 0) &lt;&gt; "", 1, ""), "")</f>
        <v/>
      </c>
    </row>
    <row r="1105">
      <c r="A1105" s="14" t="inlineStr">
        <is>
          <t>PHENOTHRINE</t>
        </is>
      </c>
      <c r="B1105" t="inlineStr">
        <is>
          <t>26002-80-2</t>
        </is>
      </c>
      <c r="C1105" s="1" t="n">
        <v>2061</v>
      </c>
      <c r="E1105">
        <f>IFERROR(IF(_xlfn.XLOOKUP(#REF!, Tableau5[Code sandre], Tableau5[Code sandre],, 0) &lt;&gt; "", 1, ""), "")</f>
        <v/>
      </c>
    </row>
    <row r="1106">
      <c r="A1106" s="14" t="inlineStr">
        <is>
          <t>PHEOPIGMENTS</t>
        </is>
      </c>
      <c r="C1106" s="1" t="n">
        <v>1436</v>
      </c>
      <c r="E1106">
        <f>IFERROR(IF(_xlfn.XLOOKUP(#REF!, Tableau5[Code sandre], Tableau5[Code sandre],, 0) &lt;&gt; "", 1, ""), "")</f>
        <v/>
      </c>
    </row>
    <row r="1107">
      <c r="A1107" s="14" t="inlineStr">
        <is>
          <t>PHORATE</t>
        </is>
      </c>
      <c r="B1107" t="inlineStr">
        <is>
          <t>298-02-2</t>
        </is>
      </c>
      <c r="C1107" s="1" t="n">
        <v>1525</v>
      </c>
      <c r="E1107">
        <f>IFERROR(IF(_xlfn.XLOOKUP(#REF!, Tableau5[Code sandre], Tableau5[Code sandre],, 0) &lt;&gt; "", 1, ""), "")</f>
        <v/>
      </c>
    </row>
    <row r="1108">
      <c r="A1108" s="14" t="inlineStr">
        <is>
          <t>PHOSALONE</t>
        </is>
      </c>
      <c r="B1108" t="inlineStr">
        <is>
          <t>2310-17-0</t>
        </is>
      </c>
      <c r="C1108" s="1" t="n">
        <v>1237</v>
      </c>
      <c r="E1108">
        <f>IFERROR(IF(_xlfn.XLOOKUP(#REF!, Tableau5[Code sandre], Tableau5[Code sandre],, 0) &lt;&gt; "", 1, ""), "")</f>
        <v/>
      </c>
    </row>
    <row r="1109">
      <c r="A1109" s="14" t="inlineStr">
        <is>
          <t>PHOSMET</t>
        </is>
      </c>
      <c r="B1109" t="inlineStr">
        <is>
          <t>732-11-6</t>
        </is>
      </c>
      <c r="C1109" s="1" t="n">
        <v>1971</v>
      </c>
      <c r="E1109">
        <f>IFERROR(IF(_xlfn.XLOOKUP(#REF!, Tableau5[Code sandre], Tableau5[Code sandre],, 0) &lt;&gt; "", 1, ""), "")</f>
        <v/>
      </c>
    </row>
    <row r="1110">
      <c r="A1110" s="14" t="inlineStr">
        <is>
          <t>PHOSPHAMIDON</t>
        </is>
      </c>
      <c r="B1110" t="inlineStr">
        <is>
          <t>13171-21-6</t>
        </is>
      </c>
      <c r="C1110" s="1" t="n">
        <v>1238</v>
      </c>
      <c r="D1110" t="inlineStr">
        <is>
          <t>BISPHEN</t>
        </is>
      </c>
      <c r="E1110">
        <f>IFERROR(IF(_xlfn.XLOOKUP(#REF!, Tableau5[Code sandre], Tableau5[Code sandre],, 0) &lt;&gt; "", 1, ""), "")</f>
        <v/>
      </c>
    </row>
    <row r="1111">
      <c r="A1111" s="14" t="inlineStr">
        <is>
          <t>PHOSPHORE_P</t>
        </is>
      </c>
      <c r="B1111" t="inlineStr">
        <is>
          <t>7723-14-0</t>
        </is>
      </c>
      <c r="C1111" s="1" t="n">
        <v>1350</v>
      </c>
      <c r="D1111" t="inlineStr">
        <is>
          <t>ATRZ</t>
        </is>
      </c>
      <c r="E1111">
        <f>IFERROR(IF(_xlfn.XLOOKUP(#REF!, Tableau5[Code sandre], Tableau5[Code sandre],, 0) &lt;&gt; "", 1, ""), "")</f>
        <v/>
      </c>
    </row>
    <row r="1112">
      <c r="A1112" s="14" t="inlineStr">
        <is>
          <t>PHOSPHORE_P2O5</t>
        </is>
      </c>
      <c r="B1112" t="inlineStr">
        <is>
          <t>1314-56-3</t>
        </is>
      </c>
      <c r="C1112" s="1" t="n">
        <v>5946</v>
      </c>
      <c r="D1112" t="inlineStr">
        <is>
          <t>ACRYL</t>
        </is>
      </c>
      <c r="E1112">
        <f>IFERROR(IF(_xlfn.XLOOKUP(#REF!, Tableau5[Code sandre], Tableau5[Code sandre],, 0) &lt;&gt; "", 1, ""), "")</f>
        <v/>
      </c>
    </row>
    <row r="1113">
      <c r="A1113" s="14" t="inlineStr">
        <is>
          <t>PHOXIME</t>
        </is>
      </c>
      <c r="B1113" t="inlineStr">
        <is>
          <t>14816-18-3</t>
        </is>
      </c>
      <c r="C1113" s="1" t="n">
        <v>1665</v>
      </c>
      <c r="E1113">
        <f>IFERROR(IF(_xlfn.XLOOKUP(#REF!, Tableau5[Code sandre], Tableau5[Code sandre],, 0) &lt;&gt; "", 1, ""), "")</f>
        <v/>
      </c>
    </row>
    <row r="1114">
      <c r="A1114" s="14" t="inlineStr">
        <is>
          <t>PHTALIMIDE</t>
        </is>
      </c>
      <c r="B1114" t="inlineStr">
        <is>
          <t>85-41-6</t>
        </is>
      </c>
      <c r="C1114" s="1" t="n">
        <v>7587</v>
      </c>
      <c r="E1114">
        <f>IFERROR(IF(_xlfn.XLOOKUP(#REF!, Tableau5[Code sandre], Tableau5[Code sandre],, 0) &lt;&gt; "", 1, ""), "")</f>
        <v/>
      </c>
    </row>
    <row r="1115">
      <c r="A1115" s="14" t="inlineStr">
        <is>
          <t>PHTALTHRINE_TETRAMETRINE</t>
        </is>
      </c>
      <c r="B1115" t="inlineStr">
        <is>
          <t>7696-12-0</t>
        </is>
      </c>
      <c r="C1115" s="1" t="n">
        <v>5921</v>
      </c>
      <c r="E1115">
        <f>IFERROR(IF(_xlfn.XLOOKUP(#REF!, Tableau5[Code sandre], Tableau5[Code sandre],, 0) &lt;&gt; "", 1, ""), "")</f>
        <v/>
      </c>
    </row>
    <row r="1116">
      <c r="A1116" s="14" t="inlineStr">
        <is>
          <t>PICLORAME_LIBRE</t>
        </is>
      </c>
      <c r="B1116" t="inlineStr">
        <is>
          <t>1918-02-1</t>
        </is>
      </c>
      <c r="C1116" s="1" t="n">
        <v>1708</v>
      </c>
      <c r="E1116">
        <f>IFERROR(IF(_xlfn.XLOOKUP(#REF!, Tableau5[Code sandre], Tableau5[Code sandre],, 0) &lt;&gt; "", 1, ""), "")</f>
        <v/>
      </c>
    </row>
    <row r="1117">
      <c r="A1117" s="14" t="inlineStr">
        <is>
          <t>PICLORAME_TOTAL</t>
        </is>
      </c>
      <c r="B1117" t="inlineStr">
        <is>
          <t xml:space="preserve"> 1918-02-1</t>
        </is>
      </c>
      <c r="C1117" s="1" t="n">
        <v>1708</v>
      </c>
      <c r="E1117">
        <f>IFERROR(IF(_xlfn.XLOOKUP(#REF!, Tableau5[Code sandre], Tableau5[Code sandre],, 0) &lt;&gt; "", 1, ""), "")</f>
        <v/>
      </c>
    </row>
    <row r="1118">
      <c r="A1118" s="14" t="inlineStr">
        <is>
          <t>PICOXYSTROBINE</t>
        </is>
      </c>
      <c r="B1118" t="inlineStr">
        <is>
          <t>117428-22-5</t>
        </is>
      </c>
      <c r="C1118" s="1" t="n">
        <v>2669</v>
      </c>
      <c r="E1118">
        <f>IFERROR(IF(_xlfn.XLOOKUP(#REF!, Tableau5[Code sandre], Tableau5[Code sandre],, 0) &lt;&gt; "", 1, ""), "")</f>
        <v/>
      </c>
    </row>
    <row r="1119">
      <c r="A1119" s="14" t="inlineStr">
        <is>
          <t>PINOXADEN</t>
        </is>
      </c>
      <c r="B1119" t="inlineStr">
        <is>
          <t>243973-20-8</t>
        </is>
      </c>
      <c r="C1119" s="1" t="n">
        <v>7057</v>
      </c>
      <c r="E1119">
        <f>IFERROR(IF(_xlfn.XLOOKUP(#REF!, Tableau5[Code sandre], Tableau5[Code sandre],, 0) &lt;&gt; "", 1, ""), "")</f>
        <v/>
      </c>
    </row>
    <row r="1120">
      <c r="A1120" s="14" t="inlineStr">
        <is>
          <t>PIPERONYL_BUTOXIDE</t>
        </is>
      </c>
      <c r="B1120" t="inlineStr">
        <is>
          <t>51-03-6</t>
        </is>
      </c>
      <c r="C1120" s="1" t="n">
        <v>1709</v>
      </c>
      <c r="E1120">
        <f>IFERROR(IF(_xlfn.XLOOKUP(#REF!, Tableau5[Code sandre], Tableau5[Code sandre],, 0) &lt;&gt; "", 1, ""), "")</f>
        <v/>
      </c>
    </row>
    <row r="1121">
      <c r="A1121" s="14" t="inlineStr">
        <is>
          <t>PIRIMICARBE</t>
        </is>
      </c>
      <c r="B1121" t="inlineStr">
        <is>
          <t>23103-98-2</t>
        </is>
      </c>
      <c r="C1121" s="1" t="n">
        <v>1528</v>
      </c>
      <c r="E1121">
        <f>IFERROR(IF(_xlfn.XLOOKUP(#REF!, Tableau5[Code sandre], Tableau5[Code sandre],, 0) &lt;&gt; "", 1, ""), "")</f>
        <v/>
      </c>
    </row>
    <row r="1122">
      <c r="A1122" s="14" t="inlineStr">
        <is>
          <t>PIRIMIPHOS_ETHYL</t>
        </is>
      </c>
      <c r="B1122" t="inlineStr">
        <is>
          <t>23505-41-1</t>
        </is>
      </c>
      <c r="C1122" s="1" t="n">
        <v>1260</v>
      </c>
      <c r="E1122">
        <f>IFERROR(IF(_xlfn.XLOOKUP(#REF!, Tableau5[Code sandre], Tableau5[Code sandre],, 0) &lt;&gt; "", 1, ""), "")</f>
        <v/>
      </c>
    </row>
    <row r="1123">
      <c r="A1123" s="14" t="inlineStr">
        <is>
          <t>PIRIMIPHOS_METHYL</t>
        </is>
      </c>
      <c r="B1123" t="inlineStr">
        <is>
          <t>29232-93-7</t>
        </is>
      </c>
      <c r="C1123" s="1" t="n">
        <v>1261</v>
      </c>
      <c r="D1123" t="inlineStr">
        <is>
          <t>BRXY</t>
        </is>
      </c>
      <c r="E1123">
        <f>IFERROR(IF(_xlfn.XLOOKUP(#REF!, Tableau5[Code sandre], Tableau5[Code sandre],, 0) &lt;&gt; "", 1, ""), "")</f>
        <v/>
      </c>
    </row>
    <row r="1124">
      <c r="A1124" s="14" t="inlineStr">
        <is>
          <t>PLOMB</t>
        </is>
      </c>
      <c r="C1124" s="1" t="n">
        <v>1382</v>
      </c>
      <c r="E1124">
        <f>IFERROR(IF(_xlfn.XLOOKUP(#REF!, Tableau5[Code sandre], Tableau5[Code sandre],, 0) &lt;&gt; "", 1, ""), "")</f>
        <v/>
      </c>
    </row>
    <row r="1125">
      <c r="A1125" s="14" t="inlineStr">
        <is>
          <t>PLOMB_210</t>
        </is>
      </c>
      <c r="B1125" t="inlineStr">
        <is>
          <t>7439-92-1</t>
        </is>
      </c>
      <c r="C1125" s="1" t="n">
        <v>1928</v>
      </c>
      <c r="E1125">
        <f>IFERROR(IF(_xlfn.XLOOKUP(#REF!, Tableau5[Code sandre], Tableau5[Code sandre],, 0) &lt;&gt; "", 1, ""), "")</f>
        <v/>
      </c>
    </row>
    <row r="1126">
      <c r="A1126" s="14" t="inlineStr">
        <is>
          <t>POTASSIUM</t>
        </is>
      </c>
      <c r="C1126" s="1" t="n">
        <v>1367</v>
      </c>
      <c r="E1126">
        <f>IFERROR(IF(_xlfn.XLOOKUP(#REF!, Tableau5[Code sandre], Tableau5[Code sandre],, 0) &lt;&gt; "", 1, ""), "")</f>
        <v/>
      </c>
    </row>
    <row r="1127">
      <c r="A1127" s="14" t="inlineStr">
        <is>
          <t>POTENTIEL_REDOX</t>
        </is>
      </c>
      <c r="C1127" s="1" t="n">
        <v>1330</v>
      </c>
      <c r="E1127">
        <f>IFERROR(IF(_xlfn.XLOOKUP(#REF!, Tableau5[Code sandre], Tableau5[Code sandre],, 0) &lt;&gt; "", 1, ""), "")</f>
        <v/>
      </c>
    </row>
    <row r="1128">
      <c r="A1128" s="14" t="inlineStr">
        <is>
          <t>POTENTIEL_REDOX_IN_SITU</t>
        </is>
      </c>
      <c r="C1128" s="1" t="n">
        <v>1330</v>
      </c>
      <c r="E1128">
        <f>IFERROR(IF(_xlfn.XLOOKUP(#REF!, Tableau5[Code sandre], Tableau5[Code sandre],, 0) &lt;&gt; "", 1, ""), "")</f>
        <v/>
      </c>
    </row>
    <row r="1129">
      <c r="A1129" s="14" t="inlineStr">
        <is>
          <t>PP_DDD</t>
        </is>
      </c>
      <c r="B1129" t="inlineStr">
        <is>
          <t>72-54-8</t>
        </is>
      </c>
      <c r="C1129" s="1" t="n">
        <v>1144</v>
      </c>
      <c r="E1129">
        <f>IFERROR(IF(_xlfn.XLOOKUP(#REF!, Tableau5[Code sandre], Tableau5[Code sandre],, 0) &lt;&gt; "", 1, ""), "")</f>
        <v/>
      </c>
    </row>
    <row r="1130">
      <c r="A1130" s="14" t="inlineStr">
        <is>
          <t>PP_DDE</t>
        </is>
      </c>
      <c r="B1130" t="inlineStr">
        <is>
          <t>72-55-9</t>
        </is>
      </c>
      <c r="C1130" s="1" t="n">
        <v>1146</v>
      </c>
      <c r="E1130">
        <f>IFERROR(IF(_xlfn.XLOOKUP(#REF!, Tableau5[Code sandre], Tableau5[Code sandre],, 0) &lt;&gt; "", 1, ""), "")</f>
        <v/>
      </c>
    </row>
    <row r="1131">
      <c r="A1131" s="14" t="inlineStr">
        <is>
          <t>PP_DDT</t>
        </is>
      </c>
      <c r="B1131" t="inlineStr">
        <is>
          <t>50-29-3</t>
        </is>
      </c>
      <c r="C1131" s="1" t="n">
        <v>1148</v>
      </c>
      <c r="E1131">
        <f>IFERROR(IF(_xlfn.XLOOKUP(#REF!, Tableau5[Code sandre], Tableau5[Code sandre],, 0) &lt;&gt; "", 1, ""), "")</f>
        <v/>
      </c>
    </row>
    <row r="1132">
      <c r="A1132" s="14" t="inlineStr">
        <is>
          <t>PRASEODYME</t>
        </is>
      </c>
      <c r="C1132" s="1" t="n">
        <v>5876</v>
      </c>
      <c r="E1132">
        <f>IFERROR(IF(_xlfn.XLOOKUP(#REF!, Tableau5[Code sandre], Tableau5[Code sandre],, 0) &lt;&gt; "", 1, ""), "")</f>
        <v/>
      </c>
    </row>
    <row r="1133">
      <c r="A1133" s="14" t="inlineStr">
        <is>
          <t>PRAVASTIN</t>
        </is>
      </c>
      <c r="B1133" t="inlineStr">
        <is>
          <t>81093-37-0</t>
        </is>
      </c>
      <c r="C1133" s="1" t="n">
        <v>6771</v>
      </c>
      <c r="E1133">
        <f>IFERROR(IF(_xlfn.XLOOKUP(#REF!, Tableau5[Code sandre], Tableau5[Code sandre],, 0) &lt;&gt; "", 1, ""), "")</f>
        <v/>
      </c>
    </row>
    <row r="1134">
      <c r="A1134" s="14" t="inlineStr">
        <is>
          <t>PRILOCAINE</t>
        </is>
      </c>
      <c r="B1134" t="inlineStr">
        <is>
          <t>721-50-6</t>
        </is>
      </c>
      <c r="C1134" s="1" t="n">
        <v>6531</v>
      </c>
      <c r="E1134">
        <f>IFERROR(IF(_xlfn.XLOOKUP(#REF!, Tableau5[Code sandre], Tableau5[Code sandre],, 0) &lt;&gt; "", 1, ""), "")</f>
        <v/>
      </c>
    </row>
    <row r="1135">
      <c r="A1135" s="14" t="inlineStr">
        <is>
          <t>PRISTINAMYCINE</t>
        </is>
      </c>
      <c r="B1135" t="inlineStr">
        <is>
          <t>270076-60-3</t>
        </is>
      </c>
      <c r="C1135" s="1" t="n">
        <v>6845</v>
      </c>
      <c r="E1135">
        <f>IFERROR(IF(_xlfn.XLOOKUP(#REF!, Tableau5[Code sandre], Tableau5[Code sandre],, 0) &lt;&gt; "", 1, ""), "")</f>
        <v/>
      </c>
    </row>
    <row r="1136">
      <c r="A1136" s="14" t="inlineStr">
        <is>
          <t>PROCHLORAZE</t>
        </is>
      </c>
      <c r="B1136" t="inlineStr">
        <is>
          <t>67747-09-5</t>
        </is>
      </c>
      <c r="C1136" s="1" t="n">
        <v>1253</v>
      </c>
      <c r="E1136">
        <f>IFERROR(IF(_xlfn.XLOOKUP(#REF!, Tableau5[Code sandre], Tableau5[Code sandre],, 0) &lt;&gt; "", 1, ""), "")</f>
        <v/>
      </c>
    </row>
    <row r="1137">
      <c r="A1137" s="14" t="inlineStr">
        <is>
          <t>PROCYMIDONE</t>
        </is>
      </c>
      <c r="B1137" t="inlineStr">
        <is>
          <t>32809-16-8</t>
        </is>
      </c>
      <c r="C1137" s="1" t="n">
        <v>1664</v>
      </c>
      <c r="E1137">
        <f>IFERROR(IF(_xlfn.XLOOKUP(#REF!, Tableau5[Code sandre], Tableau5[Code sandre],, 0) &lt;&gt; "", 1, ""), "")</f>
        <v/>
      </c>
    </row>
    <row r="1138">
      <c r="A1138" s="14" t="inlineStr">
        <is>
          <t>PROGESTERONE</t>
        </is>
      </c>
      <c r="B1138" t="inlineStr">
        <is>
          <t>57-83-0</t>
        </is>
      </c>
      <c r="C1138" s="1" t="n">
        <v>5402</v>
      </c>
      <c r="E1138">
        <f>IFERROR(IF(_xlfn.XLOOKUP(#REF!, Tableau5[Code sandre], Tableau5[Code sandre],, 0) &lt;&gt; "", 1, ""), "")</f>
        <v/>
      </c>
    </row>
    <row r="1139">
      <c r="A1139" s="14" t="inlineStr">
        <is>
          <t>PROMETHRYNE</t>
        </is>
      </c>
      <c r="B1139" t="inlineStr">
        <is>
          <t>7287-19-6</t>
        </is>
      </c>
      <c r="C1139" s="1" t="n">
        <v>1254</v>
      </c>
      <c r="E1139">
        <f>IFERROR(IF(_xlfn.XLOOKUP(#REF!, Tableau5[Code sandre], Tableau5[Code sandre],, 0) &lt;&gt; "", 1, ""), "")</f>
        <v/>
      </c>
    </row>
    <row r="1140">
      <c r="A1140" s="14" t="inlineStr">
        <is>
          <t>PROMETON</t>
        </is>
      </c>
      <c r="B1140" t="inlineStr">
        <is>
          <t>1610-18-0</t>
        </is>
      </c>
      <c r="C1140" s="1" t="n">
        <v>1711</v>
      </c>
      <c r="E1140">
        <f>IFERROR(IF(_xlfn.XLOOKUP(#REF!, Tableau5[Code sandre], Tableau5[Code sandre],, 0) &lt;&gt; "", 1, ""), "")</f>
        <v/>
      </c>
    </row>
    <row r="1141">
      <c r="A1141" s="14" t="inlineStr">
        <is>
          <t>PROPACHLOR_ESA</t>
        </is>
      </c>
      <c r="B1141" t="inlineStr">
        <is>
          <t>123732-85-4</t>
        </is>
      </c>
      <c r="C1141" s="1" t="n">
        <v>6887</v>
      </c>
      <c r="E1141">
        <f>IFERROR(IF(_xlfn.XLOOKUP(#REF!, Tableau5[Code sandre], Tableau5[Code sandre],, 0) &lt;&gt; "", 1, ""), "")</f>
        <v/>
      </c>
    </row>
    <row r="1142">
      <c r="A1142" s="14" t="inlineStr">
        <is>
          <t>PROPACHLOR_OXA</t>
        </is>
      </c>
      <c r="B1142" t="inlineStr">
        <is>
          <t>70628-36-3</t>
        </is>
      </c>
      <c r="C1142" s="1" t="n">
        <v>7736</v>
      </c>
      <c r="E1142">
        <f>IFERROR(IF(_xlfn.XLOOKUP(#REF!, Tableau5[Code sandre], Tableau5[Code sandre],, 0) &lt;&gt; "", 1, ""), "")</f>
        <v/>
      </c>
    </row>
    <row r="1143">
      <c r="A1143" s="14" t="inlineStr">
        <is>
          <t>PROPACHLORE</t>
        </is>
      </c>
      <c r="B1143" t="inlineStr">
        <is>
          <t>1918-16-7</t>
        </is>
      </c>
      <c r="C1143" s="1" t="n">
        <v>1712</v>
      </c>
      <c r="E1143">
        <f>IFERROR(IF(_xlfn.XLOOKUP(#REF!, Tableau5[Code sandre], Tableau5[Code sandre],, 0) &lt;&gt; "", 1, ""), "")</f>
        <v/>
      </c>
    </row>
    <row r="1144">
      <c r="A1144" s="14" t="inlineStr">
        <is>
          <t>PROPAMOCARBE</t>
        </is>
      </c>
      <c r="B1144" t="inlineStr">
        <is>
          <t>24579-73-5</t>
        </is>
      </c>
      <c r="C1144" s="1" t="n">
        <v>6398</v>
      </c>
      <c r="E1144">
        <f>IFERROR(IF(_xlfn.XLOOKUP(#REF!, Tableau5[Code sandre], Tableau5[Code sandre],, 0) &lt;&gt; "", 1, ""), "")</f>
        <v/>
      </c>
    </row>
    <row r="1145">
      <c r="A1145" s="14" t="inlineStr">
        <is>
          <t>PROPANIL</t>
        </is>
      </c>
      <c r="B1145" t="inlineStr">
        <is>
          <t>709-98-8</t>
        </is>
      </c>
      <c r="C1145" s="1" t="n">
        <v>1532</v>
      </c>
      <c r="E1145">
        <f>IFERROR(IF(_xlfn.XLOOKUP(#REF!, Tableau5[Code sandre], Tableau5[Code sandre],, 0) &lt;&gt; "", 1, ""), "")</f>
        <v/>
      </c>
    </row>
    <row r="1146">
      <c r="A1146" s="14" t="inlineStr">
        <is>
          <t>PROPANOL</t>
        </is>
      </c>
      <c r="B1146" t="inlineStr">
        <is>
          <t>71-23-8</t>
        </is>
      </c>
      <c r="C1146" s="1" t="n">
        <v>2617</v>
      </c>
      <c r="E1146">
        <f>IFERROR(IF(_xlfn.XLOOKUP(#REF!, Tableau5[Code sandre], Tableau5[Code sandre],, 0) &lt;&gt; "", 1, ""), "")</f>
        <v/>
      </c>
    </row>
    <row r="1147">
      <c r="A1147" s="14" t="inlineStr">
        <is>
          <t>PROPANOLOL</t>
        </is>
      </c>
      <c r="B1147" t="inlineStr">
        <is>
          <t>525-66-6</t>
        </is>
      </c>
      <c r="C1147" s="1" t="n">
        <v>5363</v>
      </c>
      <c r="E1147">
        <f>IFERROR(IF(_xlfn.XLOOKUP(#REF!, Tableau5[Code sandre], Tableau5[Code sandre],, 0) &lt;&gt; "", 1, ""), "")</f>
        <v/>
      </c>
    </row>
    <row r="1148">
      <c r="A1148" s="14" t="inlineStr">
        <is>
          <t>PROPAQUIZAFOP</t>
        </is>
      </c>
      <c r="B1148" t="inlineStr">
        <is>
          <t>111479-05-1</t>
        </is>
      </c>
      <c r="C1148" s="1" t="n">
        <v>1972</v>
      </c>
      <c r="E1148">
        <f>IFERROR(IF(_xlfn.XLOOKUP(#REF!, Tableau5[Code sandre], Tableau5[Code sandre],, 0) &lt;&gt; "", 1, ""), "")</f>
        <v/>
      </c>
    </row>
    <row r="1149">
      <c r="A1149" s="14" t="inlineStr">
        <is>
          <t>PROPARGITE</t>
        </is>
      </c>
      <c r="B1149" t="inlineStr">
        <is>
          <t>2312-35-8</t>
        </is>
      </c>
      <c r="C1149" s="1" t="n">
        <v>1255</v>
      </c>
      <c r="E1149">
        <f>IFERROR(IF(_xlfn.XLOOKUP(#REF!, Tableau5[Code sandre], Tableau5[Code sandre],, 0) &lt;&gt; "", 1, ""), "")</f>
        <v/>
      </c>
    </row>
    <row r="1150">
      <c r="A1150" s="16" t="inlineStr">
        <is>
          <t>PROPYZAMIDE_ST</t>
        </is>
      </c>
      <c r="B1150" s="17" t="n"/>
      <c r="C1150" s="12" t="n">
        <v>1414</v>
      </c>
      <c r="E1150">
        <f>IFERROR(IF(_xlfn.XLOOKUP(#REF!, Tableau5[Code sandre], Tableau5[Code sandre],, 0) &lt;&gt; "", 1, ""), "")</f>
        <v/>
      </c>
    </row>
    <row r="1151">
      <c r="A1151" s="14" t="inlineStr">
        <is>
          <t>PROPAZINE</t>
        </is>
      </c>
      <c r="B1151" t="inlineStr">
        <is>
          <t>139-40-2</t>
        </is>
      </c>
      <c r="C1151" s="1" t="n">
        <v>1256</v>
      </c>
      <c r="E1151">
        <f>IFERROR(IF(_xlfn.XLOOKUP(#REF!, Tableau5[Code sandre], Tableau5[Code sandre],, 0) &lt;&gt; "", 1, ""), "")</f>
        <v/>
      </c>
    </row>
    <row r="1152">
      <c r="A1152" s="14" t="inlineStr">
        <is>
          <t>PROPHAM</t>
        </is>
      </c>
      <c r="B1152" t="inlineStr">
        <is>
          <t>122-42-9</t>
        </is>
      </c>
      <c r="C1152" s="1" t="n">
        <v>1534</v>
      </c>
      <c r="E1152">
        <f>IFERROR(IF(_xlfn.XLOOKUP(#REF!, Tableau5[Code sandre], Tableau5[Code sandre],, 0) &lt;&gt; "", 1, ""), "")</f>
        <v/>
      </c>
    </row>
    <row r="1153">
      <c r="A1153" s="14" t="inlineStr">
        <is>
          <t>PROPICONAZOLE</t>
        </is>
      </c>
      <c r="B1153" t="inlineStr">
        <is>
          <t>60207-90-1</t>
        </is>
      </c>
      <c r="C1153" s="1" t="n">
        <v>1257</v>
      </c>
      <c r="E1153">
        <f>IFERROR(IF(_xlfn.XLOOKUP(#REF!, Tableau5[Code sandre], Tableau5[Code sandre],, 0) &lt;&gt; "", 1, ""), "")</f>
        <v/>
      </c>
    </row>
    <row r="1154">
      <c r="A1154" s="14" t="inlineStr">
        <is>
          <t>PROPOXUR</t>
        </is>
      </c>
      <c r="B1154" t="inlineStr">
        <is>
          <t>114-26-1</t>
        </is>
      </c>
      <c r="C1154" s="1" t="n">
        <v>1535</v>
      </c>
      <c r="E1154">
        <f>IFERROR(IF(_xlfn.XLOOKUP(#REF!, Tableau5[Code sandre], Tableau5[Code sandre],, 0) &lt;&gt; "", 1, ""), "")</f>
        <v/>
      </c>
    </row>
    <row r="1155">
      <c r="A1155" s="14" t="inlineStr">
        <is>
          <t>PROPYL_PARABENE</t>
        </is>
      </c>
      <c r="B1155" t="inlineStr">
        <is>
          <t>94-13-3</t>
        </is>
      </c>
      <c r="C1155" s="1" t="n">
        <v>6693</v>
      </c>
      <c r="E1155">
        <f>IFERROR(IF(_xlfn.XLOOKUP(#REF!, Tableau5[Code sandre], Tableau5[Code sandre],, 0) &lt;&gt; "", 1, ""), "")</f>
        <v/>
      </c>
    </row>
    <row r="1156">
      <c r="A1156" s="14" t="inlineStr">
        <is>
          <t>PROPYLENE_GLYCOL</t>
        </is>
      </c>
      <c r="B1156" t="inlineStr">
        <is>
          <t>57-55-6</t>
        </is>
      </c>
      <c r="C1156" s="1" t="n">
        <v>3360</v>
      </c>
      <c r="E1156">
        <f>IFERROR(IF(_xlfn.XLOOKUP(#REF!, Tableau5[Code sandre], Tableau5[Code sandre],, 0) &lt;&gt; "", 1, ""), "")</f>
        <v/>
      </c>
    </row>
    <row r="1157">
      <c r="A1157" s="14" t="inlineStr">
        <is>
          <t>PROPYZAMIDE</t>
        </is>
      </c>
      <c r="B1157" t="inlineStr">
        <is>
          <t>23950-58-5</t>
        </is>
      </c>
      <c r="C1157" s="1" t="n">
        <v>1414</v>
      </c>
      <c r="E1157">
        <f>IFERROR(IF(_xlfn.XLOOKUP(#REF!, Tableau5[Code sandre], Tableau5[Code sandre],, 0) &lt;&gt; "", 1, ""), "")</f>
        <v/>
      </c>
    </row>
    <row r="1158">
      <c r="A1158" s="14" t="inlineStr">
        <is>
          <t>PROQUINAZIDE</t>
        </is>
      </c>
      <c r="B1158" t="inlineStr">
        <is>
          <t>189278-12-4</t>
        </is>
      </c>
      <c r="C1158" s="1" t="n">
        <v>7422</v>
      </c>
      <c r="E1158">
        <f>IFERROR(IF(_xlfn.XLOOKUP(#REF!, Tableau5[Code sandre], Tableau5[Code sandre],, 0) &lt;&gt; "", 1, ""), "")</f>
        <v/>
      </c>
    </row>
    <row r="1159">
      <c r="A1159" s="14" t="inlineStr">
        <is>
          <t>PROSULFOCARBE</t>
        </is>
      </c>
      <c r="B1159" t="inlineStr">
        <is>
          <t>52888-80-9</t>
        </is>
      </c>
      <c r="C1159" s="1" t="n">
        <v>1092</v>
      </c>
      <c r="E1159">
        <f>IFERROR(IF(_xlfn.XLOOKUP(#REF!, Tableau5[Code sandre], Tableau5[Code sandre],, 0) &lt;&gt; "", 1, ""), "")</f>
        <v/>
      </c>
    </row>
    <row r="1160">
      <c r="A1160" s="14" t="inlineStr">
        <is>
          <t>PROSULFOCARBE_ST</t>
        </is>
      </c>
      <c r="C1160" s="1" t="n">
        <v>1092</v>
      </c>
      <c r="E1160">
        <f>IFERROR(IF(_xlfn.XLOOKUP(#REF!, Tableau5[Code sandre], Tableau5[Code sandre],, 0) &lt;&gt; "", 1, ""), "")</f>
        <v/>
      </c>
    </row>
    <row r="1161">
      <c r="A1161" s="14" t="inlineStr">
        <is>
          <t>PROSULFURON</t>
        </is>
      </c>
      <c r="B1161" t="inlineStr">
        <is>
          <t>94125-34-5</t>
        </is>
      </c>
      <c r="C1161" s="1" t="n">
        <v>2534</v>
      </c>
      <c r="E1161">
        <f>IFERROR(IF(_xlfn.XLOOKUP(#REF!, Tableau5[Code sandre], Tableau5[Code sandre],, 0) &lt;&gt; "", 1, ""), "")</f>
        <v/>
      </c>
    </row>
    <row r="1162">
      <c r="A1162" s="14" t="inlineStr">
        <is>
          <t>PROTHICONAZOLE</t>
        </is>
      </c>
      <c r="B1162" t="inlineStr">
        <is>
          <t>178928-70-6</t>
        </is>
      </c>
      <c r="C1162" s="1" t="n">
        <v>5603</v>
      </c>
      <c r="E1162">
        <f>IFERROR(IF(_xlfn.XLOOKUP(#REF!, Tableau5[Code sandre], Tableau5[Code sandre],, 0) &lt;&gt; "", 1, ""), "")</f>
        <v/>
      </c>
    </row>
    <row r="1163">
      <c r="A1163" s="14" t="inlineStr">
        <is>
          <t>P-XYLENE</t>
        </is>
      </c>
      <c r="B1163" t="inlineStr">
        <is>
          <t>106-42-3</t>
        </is>
      </c>
      <c r="C1163" s="1" t="n">
        <v>1294</v>
      </c>
      <c r="E1163">
        <f>IFERROR(IF(_xlfn.XLOOKUP(#REF!, Tableau5[Code sandre], Tableau5[Code sandre],, 0) &lt;&gt; "", 1, ""), "")</f>
        <v/>
      </c>
    </row>
    <row r="1164">
      <c r="A1164" s="14" t="inlineStr">
        <is>
          <t>PYMETROZINE</t>
        </is>
      </c>
      <c r="B1164" t="inlineStr">
        <is>
          <t>123312-89-0</t>
        </is>
      </c>
      <c r="C1164" s="1" t="n">
        <v>5416</v>
      </c>
      <c r="E1164">
        <f>IFERROR(IF(_xlfn.XLOOKUP(#REF!, Tableau5[Code sandre], Tableau5[Code sandre],, 0) &lt;&gt; "", 1, ""), "")</f>
        <v/>
      </c>
    </row>
    <row r="1165">
      <c r="A1165" s="14" t="inlineStr">
        <is>
          <t>PYRACLOSTROBINE</t>
        </is>
      </c>
      <c r="B1165" t="inlineStr">
        <is>
          <t>175013-18-0</t>
        </is>
      </c>
      <c r="C1165" s="1" t="n">
        <v>2576</v>
      </c>
      <c r="E1165">
        <f>IFERROR(IF(_xlfn.XLOOKUP(#REF!, Tableau5[Code sandre], Tableau5[Code sandre],, 0) &lt;&gt; "", 1, ""), "")</f>
        <v/>
      </c>
    </row>
    <row r="1166">
      <c r="A1166" s="14" t="inlineStr">
        <is>
          <t>PYRENE</t>
        </is>
      </c>
      <c r="B1166" t="inlineStr">
        <is>
          <t>129-00-0</t>
        </is>
      </c>
      <c r="C1166" s="1" t="n">
        <v>1537</v>
      </c>
      <c r="E1166">
        <f>IFERROR(IF(_xlfn.XLOOKUP(#REF!, Tableau5[Code sandre], Tableau5[Code sandre],, 0) &lt;&gt; "", 1, ""), "")</f>
        <v/>
      </c>
    </row>
    <row r="1167">
      <c r="A1167" s="14" t="inlineStr">
        <is>
          <t>PYRIDAFOL</t>
        </is>
      </c>
      <c r="B1167" t="inlineStr">
        <is>
          <t>40020-01-7</t>
        </is>
      </c>
      <c r="C1167" s="1" t="n">
        <v>6358</v>
      </c>
      <c r="E1167">
        <f>IFERROR(IF(_xlfn.XLOOKUP(#REF!, Tableau5[Code sandre], Tableau5[Code sandre],, 0) &lt;&gt; "", 1, ""), "")</f>
        <v/>
      </c>
    </row>
    <row r="1168">
      <c r="A1168" s="14" t="inlineStr">
        <is>
          <t>PYRIDATE</t>
        </is>
      </c>
      <c r="B1168" t="inlineStr">
        <is>
          <t>55512-33-9</t>
        </is>
      </c>
      <c r="C1168" s="1" t="n">
        <v>1259</v>
      </c>
      <c r="E1168">
        <f>IFERROR(IF(_xlfn.XLOOKUP(#REF!, Tableau5[Code sandre], Tableau5[Code sandre],, 0) &lt;&gt; "", 1, ""), "")</f>
        <v/>
      </c>
    </row>
    <row r="1169">
      <c r="A1169" s="14" t="inlineStr">
        <is>
          <t>PYRIFENOX</t>
        </is>
      </c>
      <c r="B1169" t="inlineStr">
        <is>
          <t>88283-41-4</t>
        </is>
      </c>
      <c r="C1169" s="1" t="n">
        <v>1663</v>
      </c>
      <c r="E1169">
        <f>IFERROR(IF(_xlfn.XLOOKUP(#REF!, Tableau5[Code sandre], Tableau5[Code sandre],, 0) &lt;&gt; "", 1, ""), "")</f>
        <v/>
      </c>
    </row>
    <row r="1170">
      <c r="A1170" s="14" t="inlineStr">
        <is>
          <t>PYRIMETHANIL</t>
        </is>
      </c>
      <c r="B1170" t="inlineStr">
        <is>
          <t>53112-28-0</t>
        </is>
      </c>
      <c r="C1170" s="1" t="n">
        <v>1432</v>
      </c>
      <c r="E1170">
        <f>IFERROR(IF(_xlfn.XLOOKUP(#REF!, Tableau5[Code sandre], Tableau5[Code sandre],, 0) &lt;&gt; "", 1, ""), "")</f>
        <v/>
      </c>
    </row>
    <row r="1171">
      <c r="A1171" s="14" t="inlineStr">
        <is>
          <t>PYRIMIPHOS_METHYL</t>
        </is>
      </c>
      <c r="B1171" t="inlineStr">
        <is>
          <t>29232-93-7</t>
        </is>
      </c>
      <c r="C1171" s="1" t="n">
        <v>1261</v>
      </c>
      <c r="E1171">
        <f>IFERROR(IF(_xlfn.XLOOKUP(#REF!, Tableau5[Code sandre], Tableau5[Code sandre],, 0) &lt;&gt; "", 1, ""), "")</f>
        <v/>
      </c>
    </row>
    <row r="1172">
      <c r="A1172" s="14" t="inlineStr">
        <is>
          <t>PYRIPROXYFEN</t>
        </is>
      </c>
      <c r="B1172" t="inlineStr">
        <is>
          <t>95737-68-1</t>
        </is>
      </c>
      <c r="C1172" s="1" t="n">
        <v>5499</v>
      </c>
      <c r="E1172">
        <f>IFERROR(IF(_xlfn.XLOOKUP(#REF!, Tableau5[Code sandre], Tableau5[Code sandre],, 0) &lt;&gt; "", 1, ""), "")</f>
        <v/>
      </c>
    </row>
    <row r="1173">
      <c r="A1173" s="14" t="inlineStr">
        <is>
          <t>PYROXSULAM</t>
        </is>
      </c>
      <c r="B1173" t="inlineStr">
        <is>
          <t>422556-08-9</t>
        </is>
      </c>
      <c r="C1173" s="1" t="n">
        <v>7340</v>
      </c>
      <c r="E1173">
        <f>IFERROR(IF(_xlfn.XLOOKUP(#REF!, Tableau5[Code sandre], Tableau5[Code sandre],, 0) &lt;&gt; "", 1, ""), "")</f>
        <v/>
      </c>
    </row>
    <row r="1174">
      <c r="A1174" s="14" t="inlineStr">
        <is>
          <t>QUINALPHOS</t>
        </is>
      </c>
      <c r="B1174" t="inlineStr">
        <is>
          <t>13593-03-8</t>
        </is>
      </c>
      <c r="C1174" s="1" t="n">
        <v>1891</v>
      </c>
      <c r="E1174">
        <f>IFERROR(IF(_xlfn.XLOOKUP(#REF!, Tableau5[Code sandre], Tableau5[Code sandre],, 0) &lt;&gt; "", 1, ""), "")</f>
        <v/>
      </c>
    </row>
    <row r="1175">
      <c r="A1175" s="14" t="inlineStr">
        <is>
          <t>QUINMERAC</t>
        </is>
      </c>
      <c r="B1175" t="inlineStr">
        <is>
          <t>90717-03-6</t>
        </is>
      </c>
      <c r="C1175" s="1" t="n">
        <v>2087</v>
      </c>
      <c r="E1175">
        <f>IFERROR(IF(_xlfn.XLOOKUP(#REF!, Tableau5[Code sandre], Tableau5[Code sandre],, 0) &lt;&gt; "", 1, ""), "")</f>
        <v/>
      </c>
    </row>
    <row r="1176">
      <c r="A1176" s="14" t="inlineStr">
        <is>
          <t>QUINOXYFENE</t>
        </is>
      </c>
      <c r="B1176" t="inlineStr">
        <is>
          <t>124495-18-7</t>
        </is>
      </c>
      <c r="C1176" s="1" t="n">
        <v>2028</v>
      </c>
      <c r="E1176">
        <f>IFERROR(IF(_xlfn.XLOOKUP(#REF!, Tableau5[Code sandre], Tableau5[Code sandre],, 0) &lt;&gt; "", 1, ""), "")</f>
        <v/>
      </c>
    </row>
    <row r="1177">
      <c r="A1177" s="14" t="inlineStr">
        <is>
          <t>QUINOXYFENE_ST</t>
        </is>
      </c>
      <c r="C1177" s="1" t="n">
        <v>2028</v>
      </c>
      <c r="E1177">
        <f>IFERROR(IF(_xlfn.XLOOKUP(#REF!, Tableau5[Code sandre], Tableau5[Code sandre],, 0) &lt;&gt; "", 1, ""), "")</f>
        <v/>
      </c>
    </row>
    <row r="1178">
      <c r="A1178" s="14" t="inlineStr">
        <is>
          <t>QUIZALOFOP_ETHYL</t>
        </is>
      </c>
      <c r="B1178" t="inlineStr">
        <is>
          <t>76578-14-8</t>
        </is>
      </c>
      <c r="C1178" s="1" t="n">
        <v>2070</v>
      </c>
      <c r="E1178">
        <f>IFERROR(IF(_xlfn.XLOOKUP(#REF!, Tableau5[Code sandre], Tableau5[Code sandre],, 0) &lt;&gt; "", 1, ""), "")</f>
        <v/>
      </c>
    </row>
    <row r="1179">
      <c r="A1179" s="14" t="inlineStr">
        <is>
          <t>RADIUM_226</t>
        </is>
      </c>
      <c r="C1179" s="1" t="n">
        <v>1964</v>
      </c>
      <c r="E1179">
        <f>IFERROR(IF(_xlfn.XLOOKUP(#REF!, Tableau5[Code sandre], Tableau5[Code sandre],, 0) &lt;&gt; "", 1, ""), "")</f>
        <v/>
      </c>
    </row>
    <row r="1180">
      <c r="A1180" s="14" t="inlineStr">
        <is>
          <t>RADIUM_228</t>
        </is>
      </c>
      <c r="C1180" s="1" t="n">
        <v>1963</v>
      </c>
      <c r="E1180">
        <f>IFERROR(IF(_xlfn.XLOOKUP(#REF!, Tableau5[Code sandre], Tableau5[Code sandre],, 0) &lt;&gt; "", 1, ""), "")</f>
        <v/>
      </c>
    </row>
    <row r="1181">
      <c r="A1181" s="14" t="inlineStr">
        <is>
          <t>RAMIPRIL</t>
        </is>
      </c>
      <c r="B1181" t="inlineStr">
        <is>
          <t>87333-19-5</t>
        </is>
      </c>
      <c r="C1181" s="1" t="n">
        <v>6780</v>
      </c>
      <c r="E1181">
        <f>IFERROR(IF(_xlfn.XLOOKUP(#REF!, Tableau5[Code sandre], Tableau5[Code sandre],, 0) &lt;&gt; "", 1, ""), "")</f>
        <v/>
      </c>
    </row>
    <row r="1182">
      <c r="A1182" s="14" t="inlineStr">
        <is>
          <t>RDX</t>
        </is>
      </c>
      <c r="B1182" t="inlineStr">
        <is>
          <t>121-82-4</t>
        </is>
      </c>
      <c r="C1182" s="1" t="n">
        <v>6208</v>
      </c>
      <c r="E1182">
        <f>IFERROR(IF(_xlfn.XLOOKUP(#REF!, Tableau5[Code sandre], Tableau5[Code sandre],, 0) &lt;&gt; "", 1, ""), "")</f>
        <v/>
      </c>
    </row>
    <row r="1183">
      <c r="A1183" s="14" t="inlineStr">
        <is>
          <t>RESIDUS_SECS_105°C</t>
        </is>
      </c>
      <c r="C1183" s="1" t="n">
        <v>1307</v>
      </c>
      <c r="D1183" t="inlineStr">
        <is>
          <t>BRCLM</t>
        </is>
      </c>
      <c r="E1183">
        <f>IFERROR(IF(_xlfn.XLOOKUP(#REF!, Tableau5[Code sandre], Tableau5[Code sandre],, 0) &lt;&gt; "", 1, ""), "")</f>
        <v/>
      </c>
    </row>
    <row r="1184">
      <c r="A1184" s="14" t="inlineStr">
        <is>
          <t>RHENIUM</t>
        </is>
      </c>
      <c r="B1184" t="inlineStr">
        <is>
          <t>7440-15-5</t>
        </is>
      </c>
      <c r="C1184" s="1" t="n">
        <v>1892</v>
      </c>
      <c r="E1184">
        <f>IFERROR(IF(_xlfn.XLOOKUP(#REF!, Tableau5[Code sandre], Tableau5[Code sandre],, 0) &lt;&gt; "", 1, ""), "")</f>
        <v/>
      </c>
    </row>
    <row r="1185">
      <c r="A1185" s="14" t="inlineStr">
        <is>
          <t>RHODIUM</t>
        </is>
      </c>
      <c r="B1185" t="inlineStr">
        <is>
          <t>7440-16-6</t>
        </is>
      </c>
      <c r="C1185" s="1" t="n">
        <v>6690</v>
      </c>
      <c r="D1185" t="inlineStr">
        <is>
          <t>245T</t>
        </is>
      </c>
      <c r="E1185">
        <f>IFERROR(IF(_xlfn.XLOOKUP(#REF!, Tableau5[Code sandre], Tableau5[Code sandre],, 0) &lt;&gt; "", 1, ""), "")</f>
        <v/>
      </c>
    </row>
    <row r="1186">
      <c r="A1186" s="14" t="inlineStr">
        <is>
          <t>RIMSULFURON</t>
        </is>
      </c>
      <c r="B1186" t="inlineStr">
        <is>
          <t>122931-48-0</t>
        </is>
      </c>
      <c r="C1186" s="1" t="n">
        <v>1892</v>
      </c>
      <c r="E1186">
        <f>IFERROR(IF(_xlfn.XLOOKUP(#REF!, Tableau5[Code sandre], Tableau5[Code sandre],, 0) &lt;&gt; "", 1, ""), "")</f>
        <v/>
      </c>
    </row>
    <row r="1187">
      <c r="A1187" s="14" t="inlineStr">
        <is>
          <t>ROTENONE</t>
        </is>
      </c>
      <c r="B1187" t="inlineStr">
        <is>
          <t>83-79-4</t>
        </is>
      </c>
      <c r="C1187" s="1" t="n">
        <v>2029</v>
      </c>
      <c r="E1187">
        <f>IFERROR(IF(_xlfn.XLOOKUP(#REF!, Tableau5[Code sandre], Tableau5[Code sandre],, 0) &lt;&gt; "", 1, ""), "")</f>
        <v/>
      </c>
    </row>
    <row r="1188">
      <c r="A1188" s="14" t="inlineStr">
        <is>
          <t>ROXITHROMYCINE</t>
        </is>
      </c>
      <c r="B1188" t="inlineStr">
        <is>
          <t>80214-83-1</t>
        </is>
      </c>
      <c r="C1188" s="1" t="n">
        <v>5423</v>
      </c>
      <c r="E1188">
        <f>IFERROR(IF(_xlfn.XLOOKUP(#REF!, Tableau5[Code sandre], Tableau5[Code sandre],, 0) &lt;&gt; "", 1, ""), "")</f>
        <v/>
      </c>
    </row>
    <row r="1189">
      <c r="A1189" s="14" t="inlineStr">
        <is>
          <t>RUBIDIUM</t>
        </is>
      </c>
      <c r="B1189" t="inlineStr">
        <is>
          <t>7440-17-7</t>
        </is>
      </c>
      <c r="C1189" s="1" t="n">
        <v>2794</v>
      </c>
      <c r="D1189" t="inlineStr">
        <is>
          <t>1122TCE</t>
        </is>
      </c>
      <c r="E1189">
        <f>IFERROR(IF(_xlfn.XLOOKUP(#REF!, Tableau5[Code sandre], Tableau5[Code sandre],, 0) &lt;&gt; "", 1, ""), "")</f>
        <v/>
      </c>
    </row>
    <row r="1190">
      <c r="A1190" s="14" t="inlineStr">
        <is>
          <t>SALINITE</t>
        </is>
      </c>
      <c r="C1190" s="1" t="n">
        <v>1842</v>
      </c>
      <c r="E1190">
        <f>IFERROR(IF(_xlfn.XLOOKUP(#REF!, Tableau5[Code sandre], Tableau5[Code sandre],, 0) &lt;&gt; "", 1, ""), "")</f>
        <v/>
      </c>
    </row>
    <row r="1191">
      <c r="A1191" s="14" t="inlineStr">
        <is>
          <t>SALINITE_IN_SITU</t>
        </is>
      </c>
      <c r="C1191" s="1" t="n">
        <v>1842</v>
      </c>
      <c r="E1191">
        <f>IFERROR(IF(_xlfn.XLOOKUP(#REF!, Tableau5[Code sandre], Tableau5[Code sandre],, 0) &lt;&gt; "", 1, ""), "")</f>
        <v/>
      </c>
    </row>
    <row r="1192">
      <c r="A1192" s="14" t="inlineStr">
        <is>
          <t>SALMONELLE</t>
        </is>
      </c>
      <c r="C1192" s="1" t="n">
        <v>1451</v>
      </c>
      <c r="E1192">
        <f>IFERROR(IF(_xlfn.XLOOKUP(#REF!, Tableau5[Code sandre], Tableau5[Code sandre],, 0) &lt;&gt; "", 1, ""), "")</f>
        <v/>
      </c>
    </row>
    <row r="1193">
      <c r="A1193" s="14" t="inlineStr">
        <is>
          <t>SAVEUR</t>
        </is>
      </c>
      <c r="C1193" s="1" t="n">
        <v>5902</v>
      </c>
      <c r="D1193" t="inlineStr">
        <is>
          <t>BA</t>
        </is>
      </c>
      <c r="E1193">
        <f>IFERROR(IF(_xlfn.XLOOKUP(#REF!, Tableau5[Code sandre], Tableau5[Code sandre],, 0) &lt;&gt; "", 1, ""), "")</f>
        <v/>
      </c>
    </row>
    <row r="1194">
      <c r="A1194" s="14" t="inlineStr">
        <is>
          <t>SAVEUR_IN_SITU</t>
        </is>
      </c>
      <c r="C1194" s="1" t="n">
        <v>5902</v>
      </c>
      <c r="E1194">
        <f>IFERROR(IF(_xlfn.XLOOKUP(#REF!, Tableau5[Code sandre], Tableau5[Code sandre],, 0) &lt;&gt; "", 1, ""), "")</f>
        <v/>
      </c>
    </row>
    <row r="1195">
      <c r="A1195" s="14" t="inlineStr">
        <is>
          <t>SCANDIUM</t>
        </is>
      </c>
      <c r="B1195" t="inlineStr">
        <is>
          <t>7440-20-2</t>
        </is>
      </c>
      <c r="C1195" s="1" t="n">
        <v>6481</v>
      </c>
      <c r="E1195">
        <f>IFERROR(IF(_xlfn.XLOOKUP(#REF!, Tableau5[Code sandre], Tableau5[Code sandre],, 0) &lt;&gt; "", 1, ""), "")</f>
        <v/>
      </c>
    </row>
    <row r="1196">
      <c r="A1196" s="14" t="inlineStr">
        <is>
          <t>SEBUTHYLAZINE</t>
        </is>
      </c>
      <c r="B1196" t="inlineStr">
        <is>
          <t>7286-69-3</t>
        </is>
      </c>
      <c r="C1196" s="1" t="n">
        <v>1923</v>
      </c>
      <c r="E1196">
        <f>IFERROR(IF(_xlfn.XLOOKUP(#REF!, Tableau5[Code sandre], Tableau5[Code sandre],, 0) &lt;&gt; "", 1, ""), "")</f>
        <v/>
      </c>
    </row>
    <row r="1197">
      <c r="A1197" s="14" t="inlineStr">
        <is>
          <t>SECBUMETON</t>
        </is>
      </c>
      <c r="B1197" t="inlineStr">
        <is>
          <t>26259-45-0</t>
        </is>
      </c>
      <c r="C1197" s="1" t="n">
        <v>1262</v>
      </c>
      <c r="E1197">
        <f>IFERROR(IF(_xlfn.XLOOKUP(#REF!, Tableau5[Code sandre], Tableau5[Code sandre],, 0) &lt;&gt; "", 1, ""), "")</f>
        <v/>
      </c>
    </row>
    <row r="1198">
      <c r="A1198" s="14" t="inlineStr">
        <is>
          <t>SEDAXANE</t>
        </is>
      </c>
      <c r="B1198" t="inlineStr">
        <is>
          <t>874967-67-6</t>
        </is>
      </c>
      <c r="C1198" s="1" t="n">
        <v>7724</v>
      </c>
      <c r="E1198">
        <f>IFERROR(IF(_xlfn.XLOOKUP(#REF!, Tableau5[Code sandre], Tableau5[Code sandre],, 0) &lt;&gt; "", 1, ""), "")</f>
        <v/>
      </c>
    </row>
    <row r="1199">
      <c r="A1199" s="14" t="inlineStr">
        <is>
          <t>SEH</t>
        </is>
      </c>
      <c r="C1199" s="1" t="n">
        <v>7464</v>
      </c>
      <c r="E1199">
        <f>IFERROR(IF(_xlfn.XLOOKUP(#REF!, Tableau5[Code sandre], Tableau5[Code sandre],, 0) &lt;&gt; "", 1, ""), "")</f>
        <v/>
      </c>
    </row>
    <row r="1200">
      <c r="A1200" s="14" t="inlineStr">
        <is>
          <t>SELENIUM</t>
        </is>
      </c>
      <c r="C1200" s="1" t="n">
        <v>1385</v>
      </c>
      <c r="E1200">
        <f>IFERROR(IF(_xlfn.XLOOKUP(#REF!, Tableau5[Code sandre], Tableau5[Code sandre],, 0) &lt;&gt; "", 1, ""), "")</f>
        <v/>
      </c>
    </row>
    <row r="1201">
      <c r="A1201" s="14" t="inlineStr">
        <is>
          <t>SIDURON</t>
        </is>
      </c>
      <c r="B1201" t="inlineStr">
        <is>
          <t>1982-49-6</t>
        </is>
      </c>
      <c r="C1201" s="1" t="n">
        <v>1893</v>
      </c>
      <c r="E1201">
        <f>IFERROR(IF(_xlfn.XLOOKUP(#REF!, Tableau5[Code sandre], Tableau5[Code sandre],, 0) &lt;&gt; "", 1, ""), "")</f>
        <v/>
      </c>
    </row>
    <row r="1202">
      <c r="A1202" s="14" t="inlineStr">
        <is>
          <t>SILICATES</t>
        </is>
      </c>
      <c r="B1202" t="inlineStr">
        <is>
          <t>15593-90-5</t>
        </is>
      </c>
      <c r="C1202" s="1" t="n">
        <v>1342</v>
      </c>
      <c r="E1202">
        <f>IFERROR(IF(_xlfn.XLOOKUP(#REF!, Tableau5[Code sandre], Tableau5[Code sandre],, 0) &lt;&gt; "", 1, ""), "")</f>
        <v/>
      </c>
    </row>
    <row r="1203">
      <c r="A1203" s="14" t="inlineStr">
        <is>
          <t>SILICE</t>
        </is>
      </c>
      <c r="B1203" t="inlineStr">
        <is>
          <t>60676-86-0</t>
        </is>
      </c>
      <c r="C1203" s="1" t="n">
        <v>1348</v>
      </c>
      <c r="E1203">
        <f>IFERROR(IF(_xlfn.XLOOKUP(#REF!, Tableau5[Code sandre], Tableau5[Code sandre],, 0) &lt;&gt; "", 1, ""), "")</f>
        <v/>
      </c>
    </row>
    <row r="1204">
      <c r="A1204" s="14" t="inlineStr">
        <is>
          <t>SILICIUM</t>
        </is>
      </c>
      <c r="C1204" s="1" t="n">
        <v>5429</v>
      </c>
      <c r="E1204">
        <f>IFERROR(IF(_xlfn.XLOOKUP(#REF!, Tableau5[Code sandre], Tableau5[Code sandre],, 0) &lt;&gt; "", 1, ""), "")</f>
        <v/>
      </c>
    </row>
    <row r="1205">
      <c r="A1205" s="14" t="inlineStr">
        <is>
          <t>SILTHIOFAM</t>
        </is>
      </c>
      <c r="B1205" t="inlineStr">
        <is>
          <t>175217-20-6</t>
        </is>
      </c>
      <c r="C1205" s="1" t="n">
        <v>5609</v>
      </c>
      <c r="E1205">
        <f>IFERROR(IF(_xlfn.XLOOKUP(#REF!, Tableau5[Code sandre], Tableau5[Code sandre],, 0) &lt;&gt; "", 1, ""), "")</f>
        <v/>
      </c>
    </row>
    <row r="1206">
      <c r="A1206" s="14" t="inlineStr">
        <is>
          <t>SIMAZINE</t>
        </is>
      </c>
      <c r="B1206" t="inlineStr">
        <is>
          <t>122-34-9</t>
        </is>
      </c>
      <c r="C1206" s="1" t="n">
        <v>1263</v>
      </c>
      <c r="E1206">
        <f>IFERROR(IF(_xlfn.XLOOKUP(#REF!, Tableau5[Code sandre], Tableau5[Code sandre],, 0) &lt;&gt; "", 1, ""), "")</f>
        <v/>
      </c>
    </row>
    <row r="1207">
      <c r="A1207" s="14" t="inlineStr">
        <is>
          <t>SIMETRYN</t>
        </is>
      </c>
      <c r="B1207" t="inlineStr">
        <is>
          <t>1014-70-6</t>
        </is>
      </c>
      <c r="C1207" s="1" t="n">
        <v>5477</v>
      </c>
      <c r="E1207">
        <f>IFERROR(IF(_xlfn.XLOOKUP(#REF!, Tableau5[Code sandre], Tableau5[Code sandre],, 0) &lt;&gt; "", 1, ""), "")</f>
        <v/>
      </c>
    </row>
    <row r="1208">
      <c r="A1208" s="14" t="inlineStr">
        <is>
          <t>SODIUM</t>
        </is>
      </c>
      <c r="B1208" t="inlineStr">
        <is>
          <t>7440-23-5</t>
        </is>
      </c>
      <c r="C1208" s="1" t="n">
        <v>1375</v>
      </c>
      <c r="E1208">
        <f>IFERROR(IF(_xlfn.XLOOKUP(#REF!, Tableau5[Code sandre], Tableau5[Code sandre],, 0) &lt;&gt; "", 1, ""), "")</f>
        <v/>
      </c>
    </row>
    <row r="1209">
      <c r="A1209" s="14" t="inlineStr">
        <is>
          <t>SOMME_20_PFAS</t>
        </is>
      </c>
      <c r="C1209" t="n">
        <v>8847</v>
      </c>
      <c r="E1209">
        <f>IFERROR(IF(_xlfn.XLOOKUP(#REF!, Tableau5[Code sandre], Tableau5[Code sandre],, 0) &lt;&gt; "", 1, ""), "")</f>
        <v/>
      </c>
    </row>
    <row r="1210">
      <c r="A1210" s="14" t="inlineStr">
        <is>
          <t>SOMMES_PFAS</t>
        </is>
      </c>
      <c r="C1210" s="1" t="n">
        <v>8847</v>
      </c>
      <c r="E1210">
        <f>IFERROR(IF(_xlfn.XLOOKUP(#REF!, Tableau5[Code sandre], Tableau5[Code sandre],, 0) &lt;&gt; "", 1, ""), "")</f>
        <v/>
      </c>
    </row>
    <row r="1211">
      <c r="A1211" s="14" t="inlineStr">
        <is>
          <t>SOTALOL</t>
        </is>
      </c>
      <c r="B1211" t="inlineStr">
        <is>
          <t>3930-20-9</t>
        </is>
      </c>
      <c r="C1211" s="1" t="n">
        <v>5424</v>
      </c>
      <c r="E1211">
        <f>IFERROR(IF(_xlfn.XLOOKUP(#REF!, Tableau5[Code sandre], Tableau5[Code sandre],, 0) &lt;&gt; "", 1, ""), "")</f>
        <v/>
      </c>
    </row>
    <row r="1212">
      <c r="A1212" s="14" t="inlineStr">
        <is>
          <t>SOUFRE</t>
        </is>
      </c>
      <c r="B1212" t="inlineStr">
        <is>
          <t>63705-05-5</t>
        </is>
      </c>
      <c r="C1212" s="1" t="n">
        <v>1819</v>
      </c>
      <c r="D1212" t="inlineStr">
        <is>
          <t>111TCL</t>
        </is>
      </c>
      <c r="E1212">
        <f>IFERROR(IF(_xlfn.XLOOKUP(#REF!, Tableau5[Code sandre], Tableau5[Code sandre],, 0) &lt;&gt; "", 1, ""), "")</f>
        <v/>
      </c>
    </row>
    <row r="1213">
      <c r="A1213" s="14" t="inlineStr">
        <is>
          <t>SPIROTETRAMAT</t>
        </is>
      </c>
      <c r="B1213" t="inlineStr">
        <is>
          <t>203313-25-1</t>
        </is>
      </c>
      <c r="C1213" s="1" t="n">
        <v>7506</v>
      </c>
      <c r="E1213">
        <f>IFERROR(IF(_xlfn.XLOOKUP(#REF!, Tableau5[Code sandre], Tableau5[Code sandre],, 0) &lt;&gt; "", 1, ""), "")</f>
        <v/>
      </c>
    </row>
    <row r="1214">
      <c r="A1214" s="14" t="inlineStr">
        <is>
          <t>SPIROXAMINE</t>
        </is>
      </c>
      <c r="B1214" t="inlineStr">
        <is>
          <t>118134-30-8</t>
        </is>
      </c>
      <c r="C1214" s="1" t="n">
        <v>2664</v>
      </c>
      <c r="E1214">
        <f>IFERROR(IF(_xlfn.XLOOKUP(#REF!, Tableau5[Code sandre], Tableau5[Code sandre],, 0) &lt;&gt; "", 1, ""), "")</f>
        <v/>
      </c>
    </row>
    <row r="1215">
      <c r="A1215" s="14" t="inlineStr">
        <is>
          <t>ST_DCO</t>
        </is>
      </c>
      <c r="C1215" s="1" t="n">
        <v>1314</v>
      </c>
      <c r="E1215">
        <f>IFERROR(IF(_xlfn.XLOOKUP(#REF!, Tableau5[Code sandre], Tableau5[Code sandre],, 0) &lt;&gt; "", 1, ""), "")</f>
        <v/>
      </c>
    </row>
    <row r="1216">
      <c r="A1216" s="14" t="inlineStr">
        <is>
          <t>STAPHYLOCOQUES</t>
        </is>
      </c>
      <c r="C1216" s="1" t="n">
        <v>1049</v>
      </c>
      <c r="E1216">
        <f>IFERROR(IF(_xlfn.XLOOKUP(#REF!, Tableau5[Code sandre], Tableau5[Code sandre],, 0) &lt;&gt; "", 1, ""), "")</f>
        <v/>
      </c>
    </row>
    <row r="1217">
      <c r="A1217" s="14" t="inlineStr">
        <is>
          <t>STRONTIUM</t>
        </is>
      </c>
      <c r="B1217" t="inlineStr">
        <is>
          <t>7440-24-6</t>
        </is>
      </c>
      <c r="C1217" s="1" t="n">
        <v>1363</v>
      </c>
      <c r="D1217" t="inlineStr">
        <is>
          <t>124TCB</t>
        </is>
      </c>
      <c r="E1217">
        <f>IFERROR(IF(_xlfn.XLOOKUP(#REF!, Tableau5[Code sandre], Tableau5[Code sandre],, 0) &lt;&gt; "", 1, ""), "")</f>
        <v/>
      </c>
    </row>
    <row r="1218">
      <c r="A1218" s="14" t="inlineStr">
        <is>
          <t>STYRENE</t>
        </is>
      </c>
      <c r="B1218" t="inlineStr">
        <is>
          <t>100-42-5</t>
        </is>
      </c>
      <c r="C1218" s="1" t="n">
        <v>1541</v>
      </c>
      <c r="E1218">
        <f>IFERROR(IF(_xlfn.XLOOKUP(#REF!, Tableau5[Code sandre], Tableau5[Code sandre],, 0) &lt;&gt; "", 1, ""), "")</f>
        <v/>
      </c>
    </row>
    <row r="1219">
      <c r="A1219" s="14" t="inlineStr">
        <is>
          <t>SUBSTANCE_NITROSABLE_NDBA</t>
        </is>
      </c>
      <c r="B1219" t="inlineStr">
        <is>
          <t>924-16-3</t>
        </is>
      </c>
      <c r="C1219" s="1" t="n">
        <v>6174</v>
      </c>
      <c r="E1219">
        <f>IFERROR(IF(_xlfn.XLOOKUP(#REF!, Tableau5[Code sandre], Tableau5[Code sandre],, 0) &lt;&gt; "", 1, ""), "")</f>
        <v/>
      </c>
    </row>
    <row r="1220">
      <c r="A1220" s="14" t="inlineStr">
        <is>
          <t>SUBSTANCE_NITROSABLE_NDEA</t>
        </is>
      </c>
      <c r="B1220" t="inlineStr">
        <is>
          <t>55-18-5</t>
        </is>
      </c>
      <c r="C1220" s="1" t="n">
        <v>1845</v>
      </c>
      <c r="E1220">
        <f>IFERROR(IF(_xlfn.XLOOKUP(#REF!, Tableau5[Code sandre], Tableau5[Code sandre],, 0) &lt;&gt; "", 1, ""), "")</f>
        <v/>
      </c>
    </row>
    <row r="1221">
      <c r="A1221" s="14" t="inlineStr">
        <is>
          <t>SUBSTANCE_NITROSABLE_NDMA</t>
        </is>
      </c>
      <c r="B1221" t="inlineStr">
        <is>
          <t>62-75-9</t>
        </is>
      </c>
      <c r="C1221" s="1" t="n">
        <v>6620</v>
      </c>
      <c r="E1221">
        <f>IFERROR(IF(_xlfn.XLOOKUP(#REF!, Tableau5[Code sandre], Tableau5[Code sandre],, 0) &lt;&gt; "", 1, ""), "")</f>
        <v/>
      </c>
    </row>
    <row r="1222">
      <c r="A1222" s="14" t="inlineStr">
        <is>
          <t>SUBSTANCE_NITROSABLE_NDPA</t>
        </is>
      </c>
      <c r="B1222" t="inlineStr">
        <is>
          <t>621-64-7</t>
        </is>
      </c>
      <c r="C1222" s="1" t="n">
        <v>3354</v>
      </c>
      <c r="D1222" t="inlineStr">
        <is>
          <t>BMG</t>
        </is>
      </c>
      <c r="E1222">
        <f>IFERROR(IF(_xlfn.XLOOKUP(#REF!, Tableau5[Code sandre], Tableau5[Code sandre],, 0) &lt;&gt; "", 1, ""), "")</f>
        <v/>
      </c>
    </row>
    <row r="1223">
      <c r="A1223" s="14" t="inlineStr">
        <is>
          <t>SUBSTANCE_NITROSABLE_NEPHA</t>
        </is>
      </c>
      <c r="B1223" t="inlineStr">
        <is>
          <t>209-143-5</t>
        </is>
      </c>
      <c r="C1223" s="1" t="n">
        <v>1846</v>
      </c>
      <c r="D1223" t="inlineStr">
        <is>
          <t>AG</t>
        </is>
      </c>
      <c r="E1223">
        <f>IFERROR(IF(_xlfn.XLOOKUP(#REF!, Tableau5[Code sandre], Tableau5[Code sandre],, 0) &lt;&gt; "", 1, ""), "")</f>
        <v/>
      </c>
    </row>
    <row r="1224">
      <c r="A1224" s="14" t="inlineStr">
        <is>
          <t>SUBSTANCE_NITROSABLE_NMEA</t>
        </is>
      </c>
      <c r="B1224" t="inlineStr">
        <is>
          <t>10595-95-6</t>
        </is>
      </c>
      <c r="C1224" s="1" t="n">
        <v>6173</v>
      </c>
      <c r="D1224" t="inlineStr">
        <is>
          <t>AS</t>
        </is>
      </c>
      <c r="E1224">
        <f>IFERROR(IF(_xlfn.XLOOKUP(#REF!, Tableau5[Code sandre], Tableau5[Code sandre],, 0) &lt;&gt; "", 1, ""), "")</f>
        <v/>
      </c>
    </row>
    <row r="1225">
      <c r="A1225" s="14" t="inlineStr">
        <is>
          <t>SUBSTANCE_NITROSABLE_NMOR</t>
        </is>
      </c>
      <c r="B1225" t="inlineStr">
        <is>
          <t>59-89-2</t>
        </is>
      </c>
      <c r="C1225" s="1" t="n">
        <v>6175</v>
      </c>
      <c r="D1225" t="inlineStr">
        <is>
          <t>ALD</t>
        </is>
      </c>
      <c r="E1225">
        <f>IFERROR(IF(_xlfn.XLOOKUP(#REF!, Tableau5[Code sandre], Tableau5[Code sandre],, 0) &lt;&gt; "", 1, ""), "")</f>
        <v/>
      </c>
    </row>
    <row r="1226">
      <c r="A1226" s="14" t="inlineStr">
        <is>
          <t>SUBSTANCE_NITROSABLE_NPIP</t>
        </is>
      </c>
      <c r="B1226" t="inlineStr">
        <is>
          <t>100-75-4</t>
        </is>
      </c>
      <c r="C1226" s="1" t="n">
        <v>6176</v>
      </c>
      <c r="D1226" t="inlineStr">
        <is>
          <t>ALD</t>
        </is>
      </c>
      <c r="E1226">
        <f>IFERROR(IF(_xlfn.XLOOKUP(#REF!, Tableau5[Code sandre], Tableau5[Code sandre],, 0) &lt;&gt; "", 1, ""), "")</f>
        <v/>
      </c>
    </row>
    <row r="1227">
      <c r="A1227" s="14" t="inlineStr">
        <is>
          <t>SUBSTANCE_NITROSABLE_NPYR</t>
        </is>
      </c>
      <c r="B1227" t="inlineStr">
        <is>
          <t>930-55-2</t>
        </is>
      </c>
      <c r="C1227" s="1" t="n">
        <v>6177</v>
      </c>
      <c r="D1227" t="inlineStr">
        <is>
          <t>SB</t>
        </is>
      </c>
      <c r="E1227">
        <f>IFERROR(IF(_xlfn.XLOOKUP(#REF!, Tableau5[Code sandre], Tableau5[Code sandre],, 0) &lt;&gt; "", 1, ""), "")</f>
        <v/>
      </c>
    </row>
    <row r="1228">
      <c r="A1228" s="14" t="inlineStr">
        <is>
          <t>SULCOTRIONE</t>
        </is>
      </c>
      <c r="B1228" t="inlineStr">
        <is>
          <t>99105-77-8</t>
        </is>
      </c>
      <c r="C1228" s="1" t="n">
        <v>1662</v>
      </c>
      <c r="E1228">
        <f>IFERROR(IF(_xlfn.XLOOKUP(#REF!, Tableau5[Code sandre], Tableau5[Code sandre],, 0) &lt;&gt; "", 1, ""), "")</f>
        <v/>
      </c>
    </row>
    <row r="1229">
      <c r="A1229" s="14" t="inlineStr">
        <is>
          <t>SULFAMATE</t>
        </is>
      </c>
      <c r="B1229" t="inlineStr">
        <is>
          <t>7773-06-0</t>
        </is>
      </c>
      <c r="C1229" s="1" t="n">
        <v>5611</v>
      </c>
      <c r="E1229">
        <f>IFERROR(IF(_xlfn.XLOOKUP(#REF!, Tableau5[Code sandre], Tableau5[Code sandre],, 0) &lt;&gt; "", 1, ""), "")</f>
        <v/>
      </c>
    </row>
    <row r="1230">
      <c r="A1230" s="14" t="inlineStr">
        <is>
          <t>SULFAMETHAZINE</t>
        </is>
      </c>
      <c r="B1230" t="inlineStr">
        <is>
          <t>57-68-1</t>
        </is>
      </c>
      <c r="C1230" s="1" t="n">
        <v>6525</v>
      </c>
      <c r="E1230">
        <f>IFERROR(IF(_xlfn.XLOOKUP(#REF!, Tableau5[Code sandre], Tableau5[Code sandre],, 0) &lt;&gt; "", 1, ""), "")</f>
        <v/>
      </c>
    </row>
    <row r="1231">
      <c r="A1231" s="14" t="inlineStr">
        <is>
          <t>SULFAMETHOXAZOLE</t>
        </is>
      </c>
      <c r="B1231" t="inlineStr">
        <is>
          <t>723-46-6</t>
        </is>
      </c>
      <c r="C1231" s="1" t="n">
        <v>5356</v>
      </c>
      <c r="E1231">
        <f>IFERROR(IF(_xlfn.XLOOKUP(#REF!, Tableau5[Code sandre], Tableau5[Code sandre],, 0) &lt;&gt; "", 1, ""), "")</f>
        <v/>
      </c>
    </row>
    <row r="1232">
      <c r="A1232" s="14" t="inlineStr">
        <is>
          <t>SULFATES</t>
        </is>
      </c>
      <c r="B1232" t="inlineStr">
        <is>
          <t>14808-79-8</t>
        </is>
      </c>
      <c r="C1232" s="1" t="n">
        <v>1338</v>
      </c>
      <c r="D1232" t="inlineStr">
        <is>
          <t>24DB</t>
        </is>
      </c>
      <c r="E1232">
        <f>IFERROR(IF(_xlfn.XLOOKUP(#REF!, Tableau5[Code sandre], Tableau5[Code sandre],, 0) &lt;&gt; "", 1, ""), "")</f>
        <v/>
      </c>
    </row>
    <row r="1233">
      <c r="A1233" s="14" t="inlineStr">
        <is>
          <t>SULFATHIAZOLE</t>
        </is>
      </c>
      <c r="B1233" t="inlineStr">
        <is>
          <t>72-14-0</t>
        </is>
      </c>
      <c r="C1233" s="1" t="n">
        <v>6572</v>
      </c>
      <c r="E1233">
        <f>IFERROR(IF(_xlfn.XLOOKUP(#REF!, Tableau5[Code sandre], Tableau5[Code sandre],, 0) &lt;&gt; "", 1, ""), "")</f>
        <v/>
      </c>
    </row>
    <row r="1234">
      <c r="A1234" s="14" t="inlineStr">
        <is>
          <t>SULFOMETURON METHYL</t>
        </is>
      </c>
      <c r="B1234" t="inlineStr">
        <is>
          <t>74222-97-2</t>
        </is>
      </c>
      <c r="C1234" s="1" t="n">
        <v>5507</v>
      </c>
      <c r="E1234">
        <f>IFERROR(IF(_xlfn.XLOOKUP(#REF!, Tableau5[Code sandre], Tableau5[Code sandre],, 0) &lt;&gt; "", 1, ""), "")</f>
        <v/>
      </c>
    </row>
    <row r="1235">
      <c r="A1235" s="14" t="inlineStr">
        <is>
          <t>SULFOSULFURON</t>
        </is>
      </c>
      <c r="B1235" t="inlineStr">
        <is>
          <t>141776-32-1</t>
        </is>
      </c>
      <c r="C1235" s="1" t="n">
        <v>2085</v>
      </c>
      <c r="E1235">
        <f>IFERROR(IF(_xlfn.XLOOKUP(#REF!, Tableau5[Code sandre], Tableau5[Code sandre],, 0) &lt;&gt; "", 1, ""), "")</f>
        <v/>
      </c>
    </row>
    <row r="1236">
      <c r="A1236" s="14" t="inlineStr">
        <is>
          <t>SULFURES</t>
        </is>
      </c>
      <c r="B1236" t="inlineStr">
        <is>
          <t>18496-25-8</t>
        </is>
      </c>
      <c r="C1236" s="1" t="n">
        <v>1355</v>
      </c>
      <c r="D1236" t="inlineStr">
        <is>
          <t>BFNX</t>
        </is>
      </c>
      <c r="E1236">
        <f>IFERROR(IF(_xlfn.XLOOKUP(#REF!, Tableau5[Code sandre], Tableau5[Code sandre],, 0) &lt;&gt; "", 1, ""), "")</f>
        <v/>
      </c>
    </row>
    <row r="1237">
      <c r="A1237" s="14" t="inlineStr">
        <is>
          <t>TA</t>
        </is>
      </c>
      <c r="C1237" s="1" t="n">
        <v>1346</v>
      </c>
      <c r="D1237" t="inlineStr">
        <is>
          <t>ALCL</t>
        </is>
      </c>
      <c r="E1237">
        <f>IFERROR(IF(_xlfn.XLOOKUP(#REF!, Tableau5[Code sandre], Tableau5[Code sandre],, 0) &lt;&gt; "", 1, ""), "")</f>
        <v/>
      </c>
    </row>
    <row r="1238">
      <c r="A1238" s="14" t="inlineStr">
        <is>
          <t>TAC</t>
        </is>
      </c>
      <c r="C1238" s="1" t="n">
        <v>1347</v>
      </c>
      <c r="D1238" t="inlineStr">
        <is>
          <t>BENZAN</t>
        </is>
      </c>
      <c r="E1238">
        <f>IFERROR(IF(_xlfn.XLOOKUP(#REF!, Tableau5[Code sandre], Tableau5[Code sandre],, 0) &lt;&gt; "", 1, ""), "")</f>
        <v/>
      </c>
    </row>
    <row r="1239">
      <c r="A1239" s="14" t="inlineStr">
        <is>
          <t>TANTALE</t>
        </is>
      </c>
      <c r="B1239" t="inlineStr">
        <is>
          <t>7440-25-7</t>
        </is>
      </c>
      <c r="C1239" s="1" t="n">
        <v>2796</v>
      </c>
      <c r="D1239" t="inlineStr">
        <is>
          <t>112TCE</t>
        </is>
      </c>
      <c r="E1239">
        <f>IFERROR(IF(_xlfn.XLOOKUP(#REF!, Tableau5[Code sandre], Tableau5[Code sandre],, 0) &lt;&gt; "", 1, ""), "")</f>
        <v/>
      </c>
    </row>
    <row r="1240">
      <c r="A1240" s="14" t="inlineStr">
        <is>
          <t>TAU-FLUVALINATE</t>
        </is>
      </c>
      <c r="B1240" t="inlineStr">
        <is>
          <t>102851-06-9</t>
        </is>
      </c>
      <c r="C1240" s="1" t="n">
        <v>1193</v>
      </c>
      <c r="E1240">
        <f>IFERROR(IF(_xlfn.XLOOKUP(#REF!, Tableau5[Code sandre], Tableau5[Code sandre],, 0) &lt;&gt; "", 1, ""), "")</f>
        <v/>
      </c>
    </row>
    <row r="1241">
      <c r="A1241" s="14" t="inlineStr">
        <is>
          <t>TEBUCONAZOLE</t>
        </is>
      </c>
      <c r="B1241" t="inlineStr">
        <is>
          <t>107534-96-3</t>
        </is>
      </c>
      <c r="C1241" s="1" t="n">
        <v>1694</v>
      </c>
      <c r="E1241">
        <f>IFERROR(IF(_xlfn.XLOOKUP(#REF!, Tableau5[Code sandre], Tableau5[Code sandre],, 0) &lt;&gt; "", 1, ""), "")</f>
        <v/>
      </c>
    </row>
    <row r="1242">
      <c r="A1242" s="14" t="inlineStr">
        <is>
          <t>TEBUCONAZOLE_ST</t>
        </is>
      </c>
      <c r="C1242" s="1" t="n">
        <v>1694</v>
      </c>
      <c r="E1242">
        <f>IFERROR(IF(_xlfn.XLOOKUP(#REF!, Tableau5[Code sandre], Tableau5[Code sandre],, 0) &lt;&gt; "", 1, ""), "")</f>
        <v/>
      </c>
    </row>
    <row r="1243">
      <c r="A1243" s="14" t="inlineStr">
        <is>
          <t>TEBUFENOZIDE</t>
        </is>
      </c>
      <c r="B1243" t="inlineStr">
        <is>
          <t>112410-23-8</t>
        </is>
      </c>
      <c r="C1243" s="1" t="n">
        <v>1895</v>
      </c>
      <c r="E1243">
        <f>IFERROR(IF(_xlfn.XLOOKUP(#REF!, Tableau5[Code sandre], Tableau5[Code sandre],, 0) &lt;&gt; "", 1, ""), "")</f>
        <v/>
      </c>
    </row>
    <row r="1244">
      <c r="A1244" s="14" t="inlineStr">
        <is>
          <t>TEBUTAME</t>
        </is>
      </c>
      <c r="B1244" t="inlineStr">
        <is>
          <t>35256-85-0</t>
        </is>
      </c>
      <c r="C1244" s="1" t="n">
        <v>1661</v>
      </c>
      <c r="E1244">
        <f>IFERROR(IF(_xlfn.XLOOKUP(#REF!, Tableau5[Code sandre], Tableau5[Code sandre],, 0) &lt;&gt; "", 1, ""), "")</f>
        <v/>
      </c>
    </row>
    <row r="1245">
      <c r="A1245" s="14" t="inlineStr">
        <is>
          <t>TEBUTHIURON</t>
        </is>
      </c>
      <c r="B1245" t="inlineStr">
        <is>
          <t>34014-18-1</t>
        </is>
      </c>
      <c r="C1245" s="1" t="n">
        <v>1542</v>
      </c>
      <c r="E1245">
        <f>IFERROR(IF(_xlfn.XLOOKUP(#REF!, Tableau5[Code sandre], Tableau5[Code sandre],, 0) &lt;&gt; "", 1, ""), "")</f>
        <v/>
      </c>
    </row>
    <row r="1246">
      <c r="A1246" s="14" t="inlineStr">
        <is>
          <t>TEFLUTHRINE</t>
        </is>
      </c>
      <c r="B1246" t="inlineStr">
        <is>
          <t>79538-32-2</t>
        </is>
      </c>
      <c r="C1246" s="1" t="n">
        <v>1953</v>
      </c>
      <c r="E1246">
        <f>IFERROR(IF(_xlfn.XLOOKUP(#REF!, Tableau5[Code sandre], Tableau5[Code sandre],, 0) &lt;&gt; "", 1, ""), "")</f>
        <v/>
      </c>
    </row>
    <row r="1247">
      <c r="A1247" s="14" t="inlineStr">
        <is>
          <t>TELLURE</t>
        </is>
      </c>
      <c r="B1247" t="inlineStr">
        <is>
          <t>13494-80-9</t>
        </is>
      </c>
      <c r="C1247" s="1" t="n">
        <v>2559</v>
      </c>
      <c r="D1247" t="inlineStr">
        <is>
          <t>NTK</t>
        </is>
      </c>
      <c r="E1247">
        <f>IFERROR(IF(_xlfn.XLOOKUP(#REF!, Tableau5[Code sandre], Tableau5[Code sandre],, 0) &lt;&gt; "", 1, ""), "")</f>
        <v/>
      </c>
    </row>
    <row r="1248">
      <c r="A1248" s="14" t="inlineStr">
        <is>
          <t>TEMBOTRIONE</t>
        </is>
      </c>
      <c r="B1248" t="inlineStr">
        <is>
          <t>335104-84-2</t>
        </is>
      </c>
      <c r="C1248" s="1" t="n">
        <v>7086</v>
      </c>
      <c r="E1248">
        <f>IFERROR(IF(_xlfn.XLOOKUP(#REF!, Tableau5[Code sandre], Tableau5[Code sandre],, 0) &lt;&gt; "", 1, ""), "")</f>
        <v/>
      </c>
    </row>
    <row r="1249">
      <c r="A1249" s="14" t="inlineStr">
        <is>
          <t>TEMPERATURE_IN_SITU</t>
        </is>
      </c>
      <c r="C1249" s="1" t="n">
        <v>1301</v>
      </c>
      <c r="E1249">
        <f>IFERROR(IF(_xlfn.XLOOKUP(#REF!, Tableau5[Code sandre], Tableau5[Code sandre],, 0) &lt;&gt; "", 1, ""), "")</f>
        <v/>
      </c>
    </row>
    <row r="1250">
      <c r="A1250" s="14" t="inlineStr">
        <is>
          <t>TERBIUM</t>
        </is>
      </c>
      <c r="B1250" t="inlineStr">
        <is>
          <t>7440-27-9</t>
        </is>
      </c>
      <c r="C1250" s="1" t="n">
        <v>5873</v>
      </c>
      <c r="D1250" t="inlineStr">
        <is>
          <t>ACNT</t>
        </is>
      </c>
      <c r="E1250">
        <f>IFERROR(IF(_xlfn.XLOOKUP(#REF!, Tableau5[Code sandre], Tableau5[Code sandre],, 0) &lt;&gt; "", 1, ""), "")</f>
        <v/>
      </c>
    </row>
    <row r="1251">
      <c r="A1251" s="14" t="inlineStr">
        <is>
          <t>TERBUFOS</t>
        </is>
      </c>
      <c r="C1251" s="1" t="n">
        <v>1267</v>
      </c>
      <c r="E1251">
        <f>IFERROR(IF(_xlfn.XLOOKUP(#REF!, Tableau5[Code sandre], Tableau5[Code sandre],, 0) &lt;&gt; "", 1, ""), "")</f>
        <v/>
      </c>
    </row>
    <row r="1252">
      <c r="A1252" s="14" t="inlineStr">
        <is>
          <t>TERBUMETON</t>
        </is>
      </c>
      <c r="B1252" t="inlineStr">
        <is>
          <t>33693-04-8</t>
        </is>
      </c>
      <c r="C1252" s="1" t="n">
        <v>1266</v>
      </c>
      <c r="E1252">
        <f>IFERROR(IF(_xlfn.XLOOKUP(#REF!, Tableau5[Code sandre], Tableau5[Code sandre],, 0) &lt;&gt; "", 1, ""), "")</f>
        <v/>
      </c>
    </row>
    <row r="1253">
      <c r="A1253" s="14" t="inlineStr">
        <is>
          <t>TERBUMETON_DESETHYL</t>
        </is>
      </c>
      <c r="C1253" t="n">
        <v>2051</v>
      </c>
      <c r="E1253">
        <f>IFERROR(IF(_xlfn.XLOOKUP(#REF!, Tableau5[Code sandre], Tableau5[Code sandre],, 0) &lt;&gt; "", 1, ""), "")</f>
        <v/>
      </c>
    </row>
    <row r="1254">
      <c r="A1254" s="14" t="inlineStr">
        <is>
          <t xml:space="preserve">TERBUMETON-DESETHYL </t>
        </is>
      </c>
      <c r="B1254" t="inlineStr">
        <is>
          <t>30125-64-5</t>
        </is>
      </c>
      <c r="C1254" s="1" t="n">
        <v>2051</v>
      </c>
      <c r="E1254">
        <f>IFERROR(IF(_xlfn.XLOOKUP(#REF!, Tableau5[Code sandre], Tableau5[Code sandre],, 0) &lt;&gt; "", 1, ""), "")</f>
        <v/>
      </c>
    </row>
    <row r="1255">
      <c r="A1255" s="14" t="inlineStr">
        <is>
          <t>TERBUTHRYNE</t>
        </is>
      </c>
      <c r="B1255" t="inlineStr">
        <is>
          <t>886-50-0</t>
        </is>
      </c>
      <c r="C1255" s="1" t="n">
        <v>1269</v>
      </c>
      <c r="E1255">
        <f>IFERROR(IF(_xlfn.XLOOKUP(#REF!, Tableau5[Code sandre], Tableau5[Code sandre],, 0) &lt;&gt; "", 1, ""), "")</f>
        <v/>
      </c>
    </row>
    <row r="1256">
      <c r="A1256" s="14" t="inlineStr">
        <is>
          <t>TERBUTHRYNE_ST</t>
        </is>
      </c>
      <c r="C1256" s="1" t="n">
        <v>1269</v>
      </c>
      <c r="E1256">
        <f>IFERROR(IF(_xlfn.XLOOKUP(#REF!, Tableau5[Code sandre], Tableau5[Code sandre],, 0) &lt;&gt; "", 1, ""), "")</f>
        <v/>
      </c>
    </row>
    <row r="1257">
      <c r="A1257" s="14" t="inlineStr">
        <is>
          <t>TERBUTHYLAZINE</t>
        </is>
      </c>
      <c r="B1257" t="inlineStr">
        <is>
          <t>5915-41-3</t>
        </is>
      </c>
      <c r="C1257" s="1" t="n">
        <v>1268</v>
      </c>
      <c r="E1257">
        <f>IFERROR(IF(_xlfn.XLOOKUP(#REF!, Tableau5[Code sandre], Tableau5[Code sandre],, 0) &lt;&gt; "", 1, ""), "")</f>
        <v/>
      </c>
    </row>
    <row r="1258">
      <c r="A1258" s="14" t="inlineStr">
        <is>
          <t>TERBUTHYLAZINE_GS28620</t>
        </is>
      </c>
      <c r="B1258" t="inlineStr">
        <is>
          <t>5915-41-3</t>
        </is>
      </c>
      <c r="C1258" s="1" t="n">
        <v>1268</v>
      </c>
      <c r="E1258">
        <f>IFERROR(IF(_xlfn.XLOOKUP(#REF!, Tableau5[Code sandre], Tableau5[Code sandre],, 0) &lt;&gt; "", 1, ""), "")</f>
        <v/>
      </c>
    </row>
    <row r="1259">
      <c r="A1259" s="14" t="inlineStr">
        <is>
          <t>TERT_BUTYL_ETHYL_ETHER</t>
        </is>
      </c>
      <c r="B1259" t="inlineStr">
        <is>
          <t>637-92-3</t>
        </is>
      </c>
      <c r="C1259" s="1" t="n">
        <v>2673</v>
      </c>
      <c r="E1259">
        <f>IFERROR(IF(_xlfn.XLOOKUP(#REF!, Tableau5[Code sandre], Tableau5[Code sandre],, 0) &lt;&gt; "", 1, ""), "")</f>
        <v/>
      </c>
    </row>
    <row r="1260">
      <c r="A1260" s="14" t="inlineStr">
        <is>
          <t>TERT-BUTANOL</t>
        </is>
      </c>
      <c r="B1260" t="inlineStr">
        <is>
          <t>75-65-0</t>
        </is>
      </c>
      <c r="C1260" s="1" t="n">
        <v>2583</v>
      </c>
      <c r="E1260">
        <f>IFERROR(IF(_xlfn.XLOOKUP(#REF!, Tableau5[Code sandre], Tableau5[Code sandre],, 0) &lt;&gt; "", 1, ""), "")</f>
        <v/>
      </c>
    </row>
    <row r="1261">
      <c r="A1261" s="14" t="inlineStr">
        <is>
          <t>TESTOSTERONE</t>
        </is>
      </c>
      <c r="B1261" t="inlineStr">
        <is>
          <t>58-22-0</t>
        </is>
      </c>
      <c r="C1261" s="1" t="n">
        <v>5384</v>
      </c>
      <c r="E1261">
        <f>IFERROR(IF(_xlfn.XLOOKUP(#REF!, Tableau5[Code sandre], Tableau5[Code sandre],, 0) &lt;&gt; "", 1, ""), "")</f>
        <v/>
      </c>
    </row>
    <row r="1262">
      <c r="A1262" s="14" t="inlineStr">
        <is>
          <t>TETRACHLORETHYLENE</t>
        </is>
      </c>
      <c r="B1262" t="inlineStr">
        <is>
          <t>127-18-4</t>
        </is>
      </c>
      <c r="C1262" s="1" t="n">
        <v>1272</v>
      </c>
      <c r="E1262">
        <f>IFERROR(IF(_xlfn.XLOOKUP(#REF!, Tableau5[Code sandre], Tableau5[Code sandre],, 0) &lt;&gt; "", 1, ""), "")</f>
        <v/>
      </c>
    </row>
    <row r="1263">
      <c r="A1263" s="14" t="inlineStr">
        <is>
          <t>TETRACHLORURE_DE_CARBONE</t>
        </is>
      </c>
      <c r="B1263" t="inlineStr">
        <is>
          <t>56-23-5</t>
        </is>
      </c>
      <c r="C1263" s="1" t="n">
        <v>1276</v>
      </c>
      <c r="E1263">
        <f>IFERROR(IF(_xlfn.XLOOKUP(#REF!, Tableau5[Code sandre], Tableau5[Code sandre],, 0) &lt;&gt; "", 1, ""), "")</f>
        <v/>
      </c>
    </row>
    <row r="1264">
      <c r="A1264" s="14" t="inlineStr">
        <is>
          <t>TETRACHLORVINPHOS</t>
        </is>
      </c>
      <c r="B1264" t="inlineStr">
        <is>
          <t>22248-79-9</t>
        </is>
      </c>
      <c r="C1264" s="1" t="n">
        <v>1277</v>
      </c>
      <c r="E1264">
        <f>IFERROR(IF(_xlfn.XLOOKUP(#REF!, Tableau5[Code sandre], Tableau5[Code sandre],, 0) &lt;&gt; "", 1, ""), "")</f>
        <v/>
      </c>
    </row>
    <row r="1265">
      <c r="A1265" s="14" t="inlineStr">
        <is>
          <t>TETRACONAZOLE</t>
        </is>
      </c>
      <c r="B1265" t="inlineStr">
        <is>
          <t>112281-77-3</t>
        </is>
      </c>
      <c r="C1265" s="1" t="n">
        <v>1660</v>
      </c>
      <c r="E1265">
        <f>IFERROR(IF(_xlfn.XLOOKUP(#REF!, Tableau5[Code sandre], Tableau5[Code sandre],, 0) &lt;&gt; "", 1, ""), "")</f>
        <v/>
      </c>
    </row>
    <row r="1266">
      <c r="A1266" s="14" t="inlineStr">
        <is>
          <t>TETRAHYDROFURANE</t>
        </is>
      </c>
      <c r="B1266" t="inlineStr">
        <is>
          <t>109-99-9</t>
        </is>
      </c>
      <c r="C1266" s="18" t="n">
        <v>1582</v>
      </c>
      <c r="E1266">
        <f>IFERROR(IF(_xlfn.XLOOKUP(#REF!, Tableau5[Code sandre], Tableau5[Code sandre],, 0) &lt;&gt; "", 1, ""), "")</f>
        <v/>
      </c>
    </row>
    <row r="1267">
      <c r="A1267" s="14" t="inlineStr">
        <is>
          <t>TETRAMETHRINE</t>
        </is>
      </c>
      <c r="B1267" t="inlineStr">
        <is>
          <t>7696-12-0</t>
        </is>
      </c>
      <c r="C1267" s="18" t="n">
        <v>5921</v>
      </c>
      <c r="E1267">
        <f>IFERROR(IF(_xlfn.XLOOKUP(#REF!, Tableau5[Code sandre], Tableau5[Code sandre],, 0) &lt;&gt; "", 1, ""), "")</f>
        <v/>
      </c>
    </row>
    <row r="1268">
      <c r="A1268" s="14" t="inlineStr">
        <is>
          <t>TETRYL</t>
        </is>
      </c>
      <c r="B1268" t="inlineStr">
        <is>
          <t>479-45-8</t>
        </is>
      </c>
      <c r="C1268" s="18" t="n">
        <v>6212</v>
      </c>
      <c r="E1268">
        <f>IFERROR(IF(_xlfn.XLOOKUP(#REF!, Tableau5[Code sandre], Tableau5[Code sandre],, 0) &lt;&gt; "", 1, ""), "")</f>
        <v/>
      </c>
    </row>
    <row r="1269">
      <c r="A1269" s="14" t="inlineStr">
        <is>
          <t>THALLIUM</t>
        </is>
      </c>
      <c r="C1269" s="18" t="n">
        <v>2555</v>
      </c>
      <c r="E1269">
        <f>IFERROR(IF(_xlfn.XLOOKUP(#REF!, Tableau5[Code sandre], Tableau5[Code sandre],, 0) &lt;&gt; "", 1, ""), "")</f>
        <v/>
      </c>
    </row>
    <row r="1270">
      <c r="A1270" s="14" t="inlineStr">
        <is>
          <t>THEOPHYLLINE</t>
        </is>
      </c>
      <c r="B1270" t="inlineStr">
        <is>
          <t>58-55-9</t>
        </is>
      </c>
      <c r="C1270" s="18" t="n">
        <v>7616</v>
      </c>
      <c r="E1270">
        <f>IFERROR(IF(_xlfn.XLOOKUP(#REF!, Tableau5[Code sandre], Tableau5[Code sandre],, 0) &lt;&gt; "", 1, ""), "")</f>
        <v/>
      </c>
    </row>
    <row r="1271">
      <c r="A1271" s="14" t="inlineStr">
        <is>
          <t>THIABENDAZOLE</t>
        </is>
      </c>
      <c r="B1271" t="inlineStr">
        <is>
          <t>148-79-8</t>
        </is>
      </c>
      <c r="C1271" s="18" t="n">
        <v>1713</v>
      </c>
      <c r="E1271">
        <f>IFERROR(IF(_xlfn.XLOOKUP(#REF!, Tableau5[Code sandre], Tableau5[Code sandre],, 0) &lt;&gt; "", 1, ""), "")</f>
        <v/>
      </c>
    </row>
    <row r="1272">
      <c r="A1272" s="14" t="inlineStr">
        <is>
          <t>THIABENDAZOLE_ST</t>
        </is>
      </c>
      <c r="C1272" s="18" t="n">
        <v>1713</v>
      </c>
      <c r="E1272">
        <f>IFERROR(IF(_xlfn.XLOOKUP(#REF!, Tableau5[Code sandre], Tableau5[Code sandre],, 0) &lt;&gt; "", 1, ""), "")</f>
        <v/>
      </c>
    </row>
    <row r="1273">
      <c r="A1273" s="14" t="inlineStr">
        <is>
          <t>THIACLOPRIDE</t>
        </is>
      </c>
      <c r="B1273" t="inlineStr">
        <is>
          <t>111988-49-9</t>
        </is>
      </c>
      <c r="C1273" s="18" t="n">
        <v>5671</v>
      </c>
      <c r="E1273">
        <f>IFERROR(IF(_xlfn.XLOOKUP(#REF!, Tableau5[Code sandre], Tableau5[Code sandre],, 0) &lt;&gt; "", 1, ""), "")</f>
        <v/>
      </c>
    </row>
    <row r="1274">
      <c r="A1274" s="14" t="inlineStr">
        <is>
          <t>THIAFANOX</t>
        </is>
      </c>
      <c r="B1274" t="inlineStr">
        <is>
          <t>39196-18-4</t>
        </is>
      </c>
      <c r="C1274" s="18" t="n">
        <v>1715</v>
      </c>
      <c r="E1274">
        <f>IFERROR(IF(_xlfn.XLOOKUP(#REF!, Tableau5[Code sandre], Tableau5[Code sandre],, 0) &lt;&gt; "", 1, ""), "")</f>
        <v/>
      </c>
    </row>
    <row r="1275">
      <c r="A1275" s="14" t="inlineStr">
        <is>
          <t>THIAMETHOXAM</t>
        </is>
      </c>
      <c r="B1275" t="inlineStr">
        <is>
          <t>153719-23-4</t>
        </is>
      </c>
      <c r="C1275" s="18" t="n">
        <v>6390</v>
      </c>
      <c r="E1275">
        <f>IFERROR(IF(_xlfn.XLOOKUP(#REF!, Tableau5[Code sandre], Tableau5[Code sandre],, 0) &lt;&gt; "", 1, ""), "")</f>
        <v/>
      </c>
    </row>
    <row r="1276">
      <c r="A1276" s="14" t="inlineStr">
        <is>
          <t>THIAMETOXAM</t>
        </is>
      </c>
      <c r="B1276" t="inlineStr">
        <is>
          <t>153719-23-4</t>
        </is>
      </c>
      <c r="C1276" s="18" t="n">
        <v>6390</v>
      </c>
      <c r="E1276">
        <f>IFERROR(IF(_xlfn.XLOOKUP(#REF!, Tableau5[Code sandre], Tableau5[Code sandre],, 0) &lt;&gt; "", 1, ""), "")</f>
        <v/>
      </c>
    </row>
    <row r="1277">
      <c r="A1277" s="14" t="inlineStr">
        <is>
          <t>THIENCARBAZONE-METHYL</t>
        </is>
      </c>
      <c r="B1277" t="inlineStr">
        <is>
          <t>317815-83-1</t>
        </is>
      </c>
      <c r="C1277" s="18" t="n">
        <v>7517</v>
      </c>
      <c r="E1277">
        <f>IFERROR(IF(_xlfn.XLOOKUP(#REF!, Tableau5[Code sandre], Tableau5[Code sandre],, 0) &lt;&gt; "", 1, ""), "")</f>
        <v/>
      </c>
    </row>
    <row r="1278">
      <c r="A1278" s="14" t="inlineStr">
        <is>
          <t>THIFENSULFURON_METHYL</t>
        </is>
      </c>
      <c r="B1278" t="inlineStr">
        <is>
          <t>79277-27-3</t>
        </is>
      </c>
      <c r="C1278" s="18" t="n">
        <v>1913</v>
      </c>
      <c r="E1278">
        <f>IFERROR(IF(_xlfn.XLOOKUP(#REF!, Tableau5[Code sandre], Tableau5[Code sandre],, 0) &lt;&gt; "", 1, ""), "")</f>
        <v/>
      </c>
    </row>
    <row r="1279">
      <c r="A1279" s="14" t="inlineStr">
        <is>
          <t>THIOBENCARBE</t>
        </is>
      </c>
      <c r="B1279" t="inlineStr">
        <is>
          <t>28249-77-6</t>
        </is>
      </c>
      <c r="C1279" s="18" t="n">
        <v>1764</v>
      </c>
      <c r="E1279">
        <f>IFERROR(IF(_xlfn.XLOOKUP(#REF!, Tableau5[Code sandre], Tableau5[Code sandre],, 0) &lt;&gt; "", 1, ""), "")</f>
        <v/>
      </c>
    </row>
    <row r="1280">
      <c r="A1280" s="14" t="inlineStr">
        <is>
          <t>THIOCYANATE (SULFOCYANURES SCN)</t>
        </is>
      </c>
      <c r="B1280" t="inlineStr">
        <is>
          <t>302-04-5</t>
        </is>
      </c>
      <c r="C1280" s="18" t="n">
        <v>1087</v>
      </c>
      <c r="E1280">
        <f>IFERROR(IF(_xlfn.XLOOKUP(#REF!, Tableau5[Code sandre], Tableau5[Code sandre],, 0) &lt;&gt; "", 1, ""), "")</f>
        <v/>
      </c>
    </row>
    <row r="1281">
      <c r="A1281" s="14" t="inlineStr">
        <is>
          <t>THIODICARBE</t>
        </is>
      </c>
      <c r="B1281" t="inlineStr">
        <is>
          <t>59669-26-0</t>
        </is>
      </c>
      <c r="C1281" s="18" t="n">
        <v>1093</v>
      </c>
      <c r="E1281">
        <f>IFERROR(IF(_xlfn.XLOOKUP(#REF!, Tableau5[Code sandre], Tableau5[Code sandre],, 0) &lt;&gt; "", 1, ""), "")</f>
        <v/>
      </c>
    </row>
    <row r="1282">
      <c r="A1282" s="14" t="inlineStr">
        <is>
          <t>THIOFANOX</t>
        </is>
      </c>
      <c r="B1282" t="inlineStr">
        <is>
          <t>39196-18-4</t>
        </is>
      </c>
      <c r="C1282" s="18" t="n">
        <v>1715</v>
      </c>
      <c r="E1282">
        <f>IFERROR(IF(_xlfn.XLOOKUP(#REF!, Tableau5[Code sandre], Tableau5[Code sandre],, 0) &lt;&gt; "", 1, ""), "")</f>
        <v/>
      </c>
    </row>
    <row r="1283">
      <c r="A1283" s="14" t="inlineStr">
        <is>
          <t>THIOMETON</t>
        </is>
      </c>
      <c r="B1283" t="inlineStr">
        <is>
          <t>640-15-3</t>
        </is>
      </c>
      <c r="C1283" s="18" t="n">
        <v>2071</v>
      </c>
      <c r="E1283">
        <f>IFERROR(IF(_xlfn.XLOOKUP(#REF!, Tableau5[Code sandre], Tableau5[Code sandre],, 0) &lt;&gt; "", 1, ""), "")</f>
        <v/>
      </c>
    </row>
    <row r="1284">
      <c r="A1284" s="14" t="inlineStr">
        <is>
          <t>THIOPHANATE-METHYL</t>
        </is>
      </c>
      <c r="B1284" t="inlineStr">
        <is>
          <t>23564-05-8</t>
        </is>
      </c>
      <c r="C1284" s="18" t="n">
        <v>1717</v>
      </c>
      <c r="E1284">
        <f>IFERROR(IF(_xlfn.XLOOKUP(#REF!, Tableau5[Code sandre], Tableau5[Code sandre],, 0) &lt;&gt; "", 1, ""), "")</f>
        <v/>
      </c>
    </row>
    <row r="1285">
      <c r="A1285" s="14" t="inlineStr">
        <is>
          <t>THIOSULFATE</t>
        </is>
      </c>
      <c r="B1285" t="inlineStr">
        <is>
          <t>14383-50-7</t>
        </is>
      </c>
      <c r="C1285" s="18" t="n">
        <v>2053</v>
      </c>
      <c r="E1285">
        <f>IFERROR(IF(_xlfn.XLOOKUP(#REF!, Tableau5[Code sandre], Tableau5[Code sandre],, 0) &lt;&gt; "", 1, ""), "")</f>
        <v/>
      </c>
    </row>
    <row r="1286">
      <c r="A1286" s="14" t="inlineStr">
        <is>
          <t>THORIUM</t>
        </is>
      </c>
      <c r="C1286" s="18" t="n">
        <v>1961</v>
      </c>
      <c r="E1286">
        <f>IFERROR(IF(_xlfn.XLOOKUP(#REF!, Tableau5[Code sandre], Tableau5[Code sandre],, 0) &lt;&gt; "", 1, ""), "")</f>
        <v/>
      </c>
    </row>
    <row r="1287">
      <c r="A1287" s="14" t="inlineStr">
        <is>
          <t>THULIUM</t>
        </is>
      </c>
      <c r="B1287" t="inlineStr">
        <is>
          <t>7440-30-4</t>
        </is>
      </c>
      <c r="C1287" s="18" t="n">
        <v>6079</v>
      </c>
      <c r="D1287" t="inlineStr">
        <is>
          <t>BEND</t>
        </is>
      </c>
      <c r="E1287">
        <f>IFERROR(IF(_xlfn.XLOOKUP(#REF!, Tableau5[Code sandre], Tableau5[Code sandre],, 0) &lt;&gt; "", 1, ""), "")</f>
        <v/>
      </c>
    </row>
    <row r="1288">
      <c r="A1288" s="14" t="inlineStr">
        <is>
          <t>TITANE</t>
        </is>
      </c>
      <c r="C1288" s="18" t="n">
        <v>1373</v>
      </c>
      <c r="E1288">
        <f>IFERROR(IF(_xlfn.XLOOKUP(#REF!, Tableau5[Code sandre], Tableau5[Code sandre],, 0) &lt;&gt; "", 1, ""), "")</f>
        <v/>
      </c>
    </row>
    <row r="1289">
      <c r="A1289" s="14" t="inlineStr">
        <is>
          <t>TNB</t>
        </is>
      </c>
      <c r="B1289" t="inlineStr">
        <is>
          <t>99-35-4</t>
        </is>
      </c>
      <c r="C1289" s="18" t="n">
        <v>6184</v>
      </c>
      <c r="E1289">
        <f>IFERROR(IF(_xlfn.XLOOKUP(#REF!, Tableau5[Code sandre], Tableau5[Code sandre],, 0) &lt;&gt; "", 1, ""), "")</f>
        <v/>
      </c>
    </row>
    <row r="1290">
      <c r="A1290" s="14" t="inlineStr">
        <is>
          <t>TNT</t>
        </is>
      </c>
      <c r="B1290" t="inlineStr">
        <is>
          <t>118-96-7</t>
        </is>
      </c>
      <c r="C1290" s="18" t="n">
        <v>2736</v>
      </c>
      <c r="E1290">
        <f>IFERROR(IF(_xlfn.XLOOKUP(#REF!, Tableau5[Code sandre], Tableau5[Code sandre],, 0) &lt;&gt; "", 1, ""), "")</f>
        <v/>
      </c>
    </row>
    <row r="1291">
      <c r="A1291" s="14" t="inlineStr">
        <is>
          <t>TOLUENE</t>
        </is>
      </c>
      <c r="B1291" t="inlineStr">
        <is>
          <t>108-88-3</t>
        </is>
      </c>
      <c r="C1291" s="18" t="n">
        <v>1278</v>
      </c>
      <c r="E1291">
        <f>IFERROR(IF(_xlfn.XLOOKUP(#REF!, Tableau5[Code sandre], Tableau5[Code sandre],, 0) &lt;&gt; "", 1, ""), "")</f>
        <v/>
      </c>
    </row>
    <row r="1292">
      <c r="A1292" s="14" t="inlineStr">
        <is>
          <t>TOLYLFLUANIDE</t>
        </is>
      </c>
      <c r="B1292" t="inlineStr">
        <is>
          <t>731-27-1</t>
        </is>
      </c>
      <c r="C1292" s="18" t="n">
        <v>1719</v>
      </c>
      <c r="E1292">
        <f>IFERROR(IF(_xlfn.XLOOKUP(#REF!, Tableau5[Code sandre], Tableau5[Code sandre],, 0) &lt;&gt; "", 1, ""), "")</f>
        <v/>
      </c>
    </row>
    <row r="1293">
      <c r="A1293" s="14" t="inlineStr">
        <is>
          <t>TOLYTRIAZOLE</t>
        </is>
      </c>
      <c r="B1293" t="inlineStr">
        <is>
          <t>29385-43-1</t>
        </is>
      </c>
      <c r="C1293" s="18" t="n">
        <v>6660</v>
      </c>
      <c r="E1293">
        <f>IFERROR(IF(_xlfn.XLOOKUP(#REF!, Tableau5[Code sandre], Tableau5[Code sandre],, 0) &lt;&gt; "", 1, ""), "")</f>
        <v/>
      </c>
    </row>
    <row r="1294">
      <c r="A1294" s="14" t="inlineStr">
        <is>
          <t>TOXAPHENE</t>
        </is>
      </c>
      <c r="B1294" t="inlineStr">
        <is>
          <t>8001-35-2</t>
        </is>
      </c>
      <c r="C1294" s="18" t="n">
        <v>1279</v>
      </c>
      <c r="E1294">
        <f>IFERROR(IF(_xlfn.XLOOKUP(#REF!, Tableau5[Code sandre], Tableau5[Code sandre],, 0) &lt;&gt; "", 1, ""), "")</f>
        <v/>
      </c>
    </row>
    <row r="1295">
      <c r="A1295" s="14" t="inlineStr">
        <is>
          <t>TOXICITE_VIS_A_VIS_DES_DAPHNIES_24</t>
        </is>
      </c>
      <c r="C1295" s="18" t="n">
        <v>1356</v>
      </c>
      <c r="E1295">
        <f>IFERROR(IF(_xlfn.XLOOKUP(#REF!, Tableau5[Code sandre], Tableau5[Code sandre],, 0) &lt;&gt; "", 1, ""), "")</f>
        <v/>
      </c>
    </row>
    <row r="1296">
      <c r="A1296" s="14" t="inlineStr">
        <is>
          <t>TOXICITE_VIS_A_VIS_DES_DAPHNIES_48</t>
        </is>
      </c>
      <c r="C1296" s="18" t="n">
        <v>1747</v>
      </c>
      <c r="E1296">
        <f>IFERROR(IF(_xlfn.XLOOKUP(#REF!, Tableau5[Code sandre], Tableau5[Code sandre],, 0) &lt;&gt; "", 1, ""), "")</f>
        <v/>
      </c>
    </row>
    <row r="1297">
      <c r="A1297" s="14" t="inlineStr">
        <is>
          <t>TRAMADOL</t>
        </is>
      </c>
      <c r="B1297" t="inlineStr">
        <is>
          <t>27203-92-5</t>
        </is>
      </c>
      <c r="C1297" s="18" t="n">
        <v>6720</v>
      </c>
      <c r="E1297">
        <f>IFERROR(IF(_xlfn.XLOOKUP(#REF!, Tableau5[Code sandre], Tableau5[Code sandre],, 0) &lt;&gt; "", 1, ""), "")</f>
        <v/>
      </c>
    </row>
    <row r="1298">
      <c r="A1298" s="14" t="inlineStr">
        <is>
          <t>TRANS_12-DICHLORETHYLENE</t>
        </is>
      </c>
      <c r="B1298" t="inlineStr">
        <is>
          <t>156-60-5</t>
        </is>
      </c>
      <c r="C1298" s="18" t="n">
        <v>1727</v>
      </c>
      <c r="E1298">
        <f>IFERROR(IF(_xlfn.XLOOKUP(#REF!, Tableau5[Code sandre], Tableau5[Code sandre],, 0) &lt;&gt; "", 1, ""), "")</f>
        <v/>
      </c>
    </row>
    <row r="1299">
      <c r="A1299" s="14" t="inlineStr">
        <is>
          <t>TRIADIMEFON</t>
        </is>
      </c>
      <c r="B1299" t="inlineStr">
        <is>
          <t>43121-43-3</t>
        </is>
      </c>
      <c r="C1299" s="18" t="n">
        <v>1544</v>
      </c>
      <c r="E1299">
        <f>IFERROR(IF(_xlfn.XLOOKUP(#REF!, Tableau5[Code sandre], Tableau5[Code sandre],, 0) &lt;&gt; "", 1, ""), "")</f>
        <v/>
      </c>
    </row>
    <row r="1300">
      <c r="A1300" s="14" t="inlineStr">
        <is>
          <t>TRIADIMENOL</t>
        </is>
      </c>
      <c r="B1300" t="inlineStr">
        <is>
          <t>55219-65-3</t>
        </is>
      </c>
      <c r="C1300" s="18" t="n">
        <v>1280</v>
      </c>
      <c r="E1300">
        <f>IFERROR(IF(_xlfn.XLOOKUP(#REF!, Tableau5[Code sandre], Tableau5[Code sandre],, 0) &lt;&gt; "", 1, ""), "")</f>
        <v/>
      </c>
    </row>
    <row r="1301">
      <c r="A1301" s="14" t="inlineStr">
        <is>
          <t>TRIALLATE</t>
        </is>
      </c>
      <c r="B1301" t="inlineStr">
        <is>
          <t>2303-17-5</t>
        </is>
      </c>
      <c r="C1301" s="18" t="n">
        <v>1281</v>
      </c>
      <c r="E1301">
        <f>IFERROR(IF(_xlfn.XLOOKUP(#REF!, Tableau5[Code sandre], Tableau5[Code sandre],, 0) &lt;&gt; "", 1, ""), "")</f>
        <v/>
      </c>
    </row>
    <row r="1302">
      <c r="A1302" s="14" t="inlineStr">
        <is>
          <t>TRIASULFURON</t>
        </is>
      </c>
      <c r="B1302" t="inlineStr">
        <is>
          <t>82097-50-5</t>
        </is>
      </c>
      <c r="C1302" s="18" t="n">
        <v>1914</v>
      </c>
      <c r="E1302">
        <f>IFERROR(IF(_xlfn.XLOOKUP(#REF!, Tableau5[Code sandre], Tableau5[Code sandre],, 0) &lt;&gt; "", 1, ""), "")</f>
        <v/>
      </c>
    </row>
    <row r="1303">
      <c r="A1303" s="14" t="inlineStr">
        <is>
          <t>TRIAZAMATE</t>
        </is>
      </c>
      <c r="B1303" t="inlineStr">
        <is>
          <t>112143-82-5</t>
        </is>
      </c>
      <c r="C1303" s="18" t="n">
        <v>1901</v>
      </c>
      <c r="E1303">
        <f>IFERROR(IF(_xlfn.XLOOKUP(#REF!, Tableau5[Code sandre], Tableau5[Code sandre],, 0) &lt;&gt; "", 1, ""), "")</f>
        <v/>
      </c>
    </row>
    <row r="1304">
      <c r="A1304" s="14" t="inlineStr">
        <is>
          <t>TRIAZOXID</t>
        </is>
      </c>
      <c r="B1304" t="inlineStr">
        <is>
          <t>72459-58-6</t>
        </is>
      </c>
      <c r="C1304" s="18" t="n">
        <v>2990</v>
      </c>
      <c r="E1304">
        <f>IFERROR(IF(_xlfn.XLOOKUP(#REF!, Tableau5[Code sandre], Tableau5[Code sandre],, 0) &lt;&gt; "", 1, ""), "")</f>
        <v/>
      </c>
    </row>
    <row r="1305">
      <c r="A1305" s="14" t="inlineStr">
        <is>
          <t>TRIBENURON-METHYL</t>
        </is>
      </c>
      <c r="B1305" t="inlineStr">
        <is>
          <t>101200-48-0</t>
        </is>
      </c>
      <c r="C1305" s="18" t="n">
        <v>2064</v>
      </c>
      <c r="E1305">
        <f>IFERROR(IF(_xlfn.XLOOKUP(#REF!, Tableau5[Code sandre], Tableau5[Code sandre],, 0) &lt;&gt; "", 1, ""), "")</f>
        <v/>
      </c>
    </row>
    <row r="1306">
      <c r="A1306" s="14" t="inlineStr">
        <is>
          <t>TRIBUTYLETAIN</t>
        </is>
      </c>
      <c r="B1306" t="inlineStr">
        <is>
          <t>688-73-3</t>
        </is>
      </c>
      <c r="C1306" s="18" t="n">
        <v>1820</v>
      </c>
      <c r="E1306">
        <f>IFERROR(IF(_xlfn.XLOOKUP(#REF!, Tableau5[Code sandre], Tableau5[Code sandre],, 0) &lt;&gt; "", 1, ""), "")</f>
        <v/>
      </c>
    </row>
    <row r="1307">
      <c r="A1307" s="14" t="inlineStr">
        <is>
          <t>TRIBUTYLETAIN_CATION_ST</t>
        </is>
      </c>
      <c r="B1307" t="inlineStr">
        <is>
          <t>36643-28-4</t>
        </is>
      </c>
      <c r="C1307" s="18" t="n">
        <v>2879</v>
      </c>
      <c r="E1307">
        <f>IFERROR(IF(_xlfn.XLOOKUP(#REF!, Tableau5[Code sandre], Tableau5[Code sandre],, 0) &lt;&gt; "", 1, ""), "")</f>
        <v/>
      </c>
    </row>
    <row r="1308">
      <c r="A1308" s="14" t="inlineStr">
        <is>
          <t>TRIBUTYLPHOSPHATE</t>
        </is>
      </c>
      <c r="B1308" t="inlineStr">
        <is>
          <t>126-73-8</t>
        </is>
      </c>
      <c r="C1308" s="18" t="n">
        <v>1847</v>
      </c>
      <c r="E1308">
        <f>IFERROR(IF(_xlfn.XLOOKUP(#REF!, Tableau5[Code sandre], Tableau5[Code sandre],, 0) &lt;&gt; "", 1, ""), "")</f>
        <v/>
      </c>
    </row>
    <row r="1309">
      <c r="A1309" s="14" t="inlineStr">
        <is>
          <t>TRIBUTYLPHOSPHATE_ST</t>
        </is>
      </c>
      <c r="C1309" s="18" t="n">
        <v>1847</v>
      </c>
      <c r="E1309">
        <f>IFERROR(IF(_xlfn.XLOOKUP(#REF!, Tableau5[Code sandre], Tableau5[Code sandre],, 0) &lt;&gt; "", 1, ""), "")</f>
        <v/>
      </c>
    </row>
    <row r="1310">
      <c r="A1310" s="14" t="inlineStr">
        <is>
          <t>TRICHLORETHYLENE</t>
        </is>
      </c>
      <c r="B1310" t="inlineStr">
        <is>
          <t>79-01-6</t>
        </is>
      </c>
      <c r="C1310" s="18" t="n">
        <v>1286</v>
      </c>
      <c r="E1310">
        <f>IFERROR(IF(_xlfn.XLOOKUP(#REF!, Tableau5[Code sandre], Tableau5[Code sandre],, 0) &lt;&gt; "", 1, ""), "")</f>
        <v/>
      </c>
    </row>
    <row r="1311">
      <c r="A1311" s="14" t="inlineStr">
        <is>
          <t>TRICHLOROACETONITRILE</t>
        </is>
      </c>
      <c r="B1311" t="inlineStr">
        <is>
          <t>545-06-2</t>
        </is>
      </c>
      <c r="C1311" s="18" t="n">
        <v>1547</v>
      </c>
      <c r="E1311">
        <f>IFERROR(IF(_xlfn.XLOOKUP(#REF!, Tableau5[Code sandre], Tableau5[Code sandre],, 0) &lt;&gt; "", 1, ""), "")</f>
        <v/>
      </c>
    </row>
    <row r="1312">
      <c r="A1312" s="14" t="inlineStr">
        <is>
          <t>TRICHLOROBENZENES</t>
        </is>
      </c>
      <c r="B1312" t="inlineStr">
        <is>
          <t>12002-48-1</t>
        </is>
      </c>
      <c r="C1312" s="18" t="n">
        <v>1774</v>
      </c>
      <c r="E1312">
        <f>IFERROR(IF(_xlfn.XLOOKUP(#REF!, Tableau5[Code sandre], Tableau5[Code sandre],, 0) &lt;&gt; "", 1, ""), "")</f>
        <v/>
      </c>
    </row>
    <row r="1313">
      <c r="A1313" s="14" t="inlineStr">
        <is>
          <t>TRICHLOROFLUROROMETHANE</t>
        </is>
      </c>
      <c r="B1313" t="inlineStr">
        <is>
          <t>75-69-4</t>
        </is>
      </c>
      <c r="C1313" s="18" t="n">
        <v>1195</v>
      </c>
      <c r="E1313">
        <f>IFERROR(IF(_xlfn.XLOOKUP(#REF!, Tableau5[Code sandre], Tableau5[Code sandre],, 0) &lt;&gt; "", 1, ""), "")</f>
        <v/>
      </c>
    </row>
    <row r="1314">
      <c r="A1314" s="14" t="inlineStr">
        <is>
          <t>TRICHLOROTRIFLUOROETHANE</t>
        </is>
      </c>
      <c r="B1314" t="inlineStr">
        <is>
          <t>354-58-5</t>
        </is>
      </c>
      <c r="C1314" s="18" t="n">
        <v>2608</v>
      </c>
      <c r="E1314">
        <f>IFERROR(IF(_xlfn.XLOOKUP(#REF!, Tableau5[Code sandre], Tableau5[Code sandre],, 0) &lt;&gt; "", 1, ""), "")</f>
        <v/>
      </c>
    </row>
    <row r="1315">
      <c r="A1315" s="14" t="inlineStr">
        <is>
          <t>TRICLOPYR_ESTER</t>
        </is>
      </c>
      <c r="B1315" t="inlineStr">
        <is>
          <t>1929-73-3</t>
        </is>
      </c>
      <c r="C1315" s="18" t="n">
        <v>6552</v>
      </c>
      <c r="E1315">
        <f>IFERROR(IF(_xlfn.XLOOKUP(#REF!, Tableau5[Code sandre], Tableau5[Code sandre],, 0) &lt;&gt; "", 1, ""), "")</f>
        <v/>
      </c>
    </row>
    <row r="1316">
      <c r="A1316" s="14" t="inlineStr">
        <is>
          <t>TRICLOPYR_LIBRE</t>
        </is>
      </c>
      <c r="B1316" t="inlineStr">
        <is>
          <t>55335-06-3</t>
        </is>
      </c>
      <c r="C1316" s="18" t="n">
        <v>1288</v>
      </c>
      <c r="E1316">
        <f>IFERROR(IF(_xlfn.XLOOKUP(#REF!, Tableau5[Code sandre], Tableau5[Code sandre],, 0) &lt;&gt; "", 1, ""), "")</f>
        <v/>
      </c>
    </row>
    <row r="1317">
      <c r="A1317" s="14" t="inlineStr">
        <is>
          <t>TRICLOPYR_TOTAL</t>
        </is>
      </c>
      <c r="B1317" t="inlineStr">
        <is>
          <t>55335-06-3</t>
        </is>
      </c>
      <c r="C1317" s="18" t="n">
        <v>1288</v>
      </c>
      <c r="E1317">
        <f>IFERROR(IF(_xlfn.XLOOKUP(#REF!, Tableau5[Code sandre], Tableau5[Code sandre],, 0) &lt;&gt; "", 1, ""), "")</f>
        <v/>
      </c>
    </row>
    <row r="1318">
      <c r="A1318" s="14" t="inlineStr">
        <is>
          <t>TRICLOSAN</t>
        </is>
      </c>
      <c r="B1318" t="inlineStr">
        <is>
          <t>3380-34-5</t>
        </is>
      </c>
      <c r="C1318" s="1" t="n">
        <v>5430</v>
      </c>
      <c r="E1318">
        <f>IFERROR(IF(_xlfn.XLOOKUP(#REF!, Tableau5[Code sandre], Tableau5[Code sandre],, 0) &lt;&gt; "", 1, ""), "")</f>
        <v/>
      </c>
    </row>
    <row r="1319">
      <c r="A1319" s="14" t="inlineStr">
        <is>
          <t>TRIETHYLAMINE</t>
        </is>
      </c>
      <c r="B1319" t="inlineStr">
        <is>
          <t>121-44-8</t>
        </is>
      </c>
      <c r="C1319" s="1" t="n">
        <v>6006</v>
      </c>
      <c r="E1319">
        <f>IFERROR(IF(_xlfn.XLOOKUP(#REF!, Tableau5[Code sandre], Tableau5[Code sandre],, 0) &lt;&gt; "", 1, ""), "")</f>
        <v/>
      </c>
    </row>
    <row r="1320">
      <c r="A1320" s="14" t="inlineStr">
        <is>
          <t>TRIFLINATE_DE_POTASSIUM</t>
        </is>
      </c>
      <c r="C1320" t="n">
        <v>9120</v>
      </c>
      <c r="E1320">
        <f>IFERROR(IF(_xlfn.XLOOKUP(#REF!, Tableau5[Code sandre], Tableau5[Code sandre],, 0) &lt;&gt; "", 1, ""), "")</f>
        <v/>
      </c>
    </row>
    <row r="1321">
      <c r="A1321" s="14" t="inlineStr">
        <is>
          <t>TRIFLOXYSTROBINE</t>
        </is>
      </c>
      <c r="B1321" t="inlineStr">
        <is>
          <t>141517-21-7</t>
        </is>
      </c>
      <c r="C1321" s="1" t="n">
        <v>2678</v>
      </c>
      <c r="E1321">
        <f>IFERROR(IF(_xlfn.XLOOKUP(#REF!, Tableau5[Code sandre], Tableau5[Code sandre],, 0) &lt;&gt; "", 1, ""), "")</f>
        <v/>
      </c>
    </row>
    <row r="1322">
      <c r="A1322" s="14" t="inlineStr">
        <is>
          <t>TRIFLURALINE</t>
        </is>
      </c>
      <c r="B1322" t="inlineStr">
        <is>
          <t>1582-09-8</t>
        </is>
      </c>
      <c r="C1322" s="1" t="n">
        <v>1289</v>
      </c>
      <c r="E1322">
        <f>IFERROR(IF(_xlfn.XLOOKUP(#REF!, Tableau5[Code sandre], Tableau5[Code sandre],, 0) &lt;&gt; "", 1, ""), "")</f>
        <v/>
      </c>
    </row>
    <row r="1323">
      <c r="A1323" s="14" t="inlineStr">
        <is>
          <t>TRIMETHOPRIME</t>
        </is>
      </c>
      <c r="B1323" t="inlineStr">
        <is>
          <t>738-70-5</t>
        </is>
      </c>
      <c r="C1323" s="1" t="n">
        <v>5357</v>
      </c>
      <c r="E1323">
        <f>IFERROR(IF(_xlfn.XLOOKUP(#REF!, Tableau5[Code sandre], Tableau5[Code sandre],, 0) &lt;&gt; "", 1, ""), "")</f>
        <v/>
      </c>
    </row>
    <row r="1324">
      <c r="A1324" s="14" t="inlineStr">
        <is>
          <t>TRIMETHYLBENZENES</t>
        </is>
      </c>
      <c r="B1324" t="inlineStr">
        <is>
          <t>95-63-6</t>
        </is>
      </c>
      <c r="C1324" s="1" t="n">
        <v>1609</v>
      </c>
      <c r="E1324">
        <f>IFERROR(IF(_xlfn.XLOOKUP(#REF!, Tableau5[Code sandre], Tableau5[Code sandre],, 0) &lt;&gt; "", 1, ""), "")</f>
        <v/>
      </c>
    </row>
    <row r="1325">
      <c r="A1325" s="14" t="inlineStr">
        <is>
          <t>TRINEXAPAC</t>
        </is>
      </c>
      <c r="B1325" t="inlineStr">
        <is>
          <t>95266-40-3</t>
        </is>
      </c>
      <c r="C1325" s="1" t="n">
        <v>2096</v>
      </c>
      <c r="E1325">
        <f>IFERROR(IF(_xlfn.XLOOKUP(#REF!, Tableau5[Code sandre], Tableau5[Code sandre],, 0) &lt;&gt; "", 1, ""), "")</f>
        <v/>
      </c>
    </row>
    <row r="1326">
      <c r="A1326" s="14" t="inlineStr">
        <is>
          <t>TRINEXAPAC_ETHYL</t>
        </is>
      </c>
      <c r="B1326" t="inlineStr">
        <is>
          <t>95266-40-3</t>
        </is>
      </c>
      <c r="C1326" s="1" t="n">
        <v>2096</v>
      </c>
      <c r="E1326">
        <f>IFERROR(IF(_xlfn.XLOOKUP(#REF!, Tableau5[Code sandre], Tableau5[Code sandre],, 0) &lt;&gt; "", 1, ""), "")</f>
        <v/>
      </c>
    </row>
    <row r="1327">
      <c r="A1327" s="14" t="inlineStr">
        <is>
          <t>TRIPHENYLETAIN_CATION</t>
        </is>
      </c>
      <c r="B1327" t="inlineStr">
        <is>
          <t>668-34-8</t>
        </is>
      </c>
      <c r="C1327" s="1" t="n">
        <v>6372</v>
      </c>
      <c r="E1327">
        <f>IFERROR(IF(_xlfn.XLOOKUP(#REF!, Tableau5[Code sandre], Tableau5[Code sandre],, 0) &lt;&gt; "", 1, ""), "")</f>
        <v/>
      </c>
    </row>
    <row r="1328">
      <c r="A1328" s="14" t="inlineStr">
        <is>
          <t>TRIPHENYLETAIN_CATION_ST</t>
        </is>
      </c>
      <c r="C1328" s="1" t="n">
        <v>6372</v>
      </c>
      <c r="E1328">
        <f>IFERROR(IF(_xlfn.XLOOKUP(#REF!, Tableau5[Code sandre], Tableau5[Code sandre],, 0) &lt;&gt; "", 1, ""), "")</f>
        <v/>
      </c>
    </row>
    <row r="1329">
      <c r="A1329" s="14" t="inlineStr">
        <is>
          <t>TRISULFURON_METHYL</t>
        </is>
      </c>
      <c r="B1329" t="inlineStr">
        <is>
          <t>126535-15-7</t>
        </is>
      </c>
      <c r="C1329" s="1" t="n">
        <v>2991</v>
      </c>
      <c r="E1329">
        <f>IFERROR(IF(_xlfn.XLOOKUP(#REF!, Tableau5[Code sandre], Tableau5[Code sandre],, 0) &lt;&gt; "", 1, ""), "")</f>
        <v/>
      </c>
    </row>
    <row r="1330">
      <c r="A1330" s="14" t="inlineStr">
        <is>
          <t>TRITICONAZOLE</t>
        </is>
      </c>
      <c r="B1330" t="inlineStr">
        <is>
          <t>131983-72-7</t>
        </is>
      </c>
      <c r="C1330" s="1" t="n">
        <v>2992</v>
      </c>
      <c r="E1330">
        <f>IFERROR(IF(_xlfn.XLOOKUP(#REF!, Tableau5[Code sandre], Tableau5[Code sandre],, 0) &lt;&gt; "", 1, ""), "")</f>
        <v/>
      </c>
    </row>
    <row r="1331">
      <c r="A1331" s="14" t="inlineStr">
        <is>
          <t>TRITIUM_3H</t>
        </is>
      </c>
      <c r="B1331" t="inlineStr">
        <is>
          <t>10028-17-8</t>
        </is>
      </c>
      <c r="C1331" s="1" t="n">
        <v>2098</v>
      </c>
      <c r="E1331">
        <f>IFERROR(IF(_xlfn.XLOOKUP(#REF!, Tableau5[Code sandre], Tableau5[Code sandre],, 0) &lt;&gt; "", 1, ""), "")</f>
        <v/>
      </c>
    </row>
    <row r="1332">
      <c r="A1332" s="14" t="inlineStr">
        <is>
          <t>TRITOSULFURON</t>
        </is>
      </c>
      <c r="B1332" t="inlineStr">
        <is>
          <t>142469-14-5</t>
        </is>
      </c>
      <c r="C1332" s="1" t="n">
        <v>7087</v>
      </c>
      <c r="E1332">
        <f>IFERROR(IF(_xlfn.XLOOKUP(#REF!, Tableau5[Code sandre], Tableau5[Code sandre],, 0) &lt;&gt; "", 1, ""), "")</f>
        <v/>
      </c>
    </row>
    <row r="1333">
      <c r="A1333" s="14" t="inlineStr">
        <is>
          <t>TUNGSTENE</t>
        </is>
      </c>
      <c r="C1333" s="1" t="n">
        <v>2797</v>
      </c>
      <c r="E1333">
        <f>IFERROR(IF(_xlfn.XLOOKUP(#REF!, Tableau5[Code sandre], Tableau5[Code sandre],, 0) &lt;&gt; "", 1, ""), "")</f>
        <v/>
      </c>
    </row>
    <row r="1334">
      <c r="A1334" s="14" t="inlineStr">
        <is>
          <t>TUNGSTENE_1</t>
        </is>
      </c>
      <c r="B1334" t="inlineStr">
        <is>
          <t>7440-33-7</t>
        </is>
      </c>
      <c r="C1334" s="1" t="n">
        <v>2797</v>
      </c>
      <c r="E1334">
        <f>IFERROR(IF(_xlfn.XLOOKUP(#REF!, Tableau5[Code sandre], Tableau5[Code sandre],, 0) &lt;&gt; "", 1, ""), "")</f>
        <v/>
      </c>
    </row>
    <row r="1335">
      <c r="A1335" s="14" t="inlineStr">
        <is>
          <t>TUNGSTENE_2</t>
        </is>
      </c>
      <c r="B1335" t="inlineStr">
        <is>
          <t>7440-33-7</t>
        </is>
      </c>
      <c r="C1335" s="1" t="n">
        <v>2797</v>
      </c>
      <c r="E1335">
        <f>IFERROR(IF(_xlfn.XLOOKUP(#REF!, Tableau5[Code sandre], Tableau5[Code sandre],, 0) &lt;&gt; "", 1, ""), "")</f>
        <v/>
      </c>
    </row>
    <row r="1336">
      <c r="A1336" s="14" t="inlineStr">
        <is>
          <t>TURBIDITE</t>
        </is>
      </c>
      <c r="C1336" s="1" t="n">
        <v>1295</v>
      </c>
      <c r="D1336" t="inlineStr">
        <is>
          <t>ATRZ</t>
        </is>
      </c>
      <c r="E1336">
        <f>IFERROR(IF(_xlfn.XLOOKUP(#REF!, Tableau5[Code sandre], Tableau5[Code sandre],, 0) &lt;&gt; "", 1, ""), "")</f>
        <v/>
      </c>
    </row>
    <row r="1337">
      <c r="A1337" s="14" t="inlineStr">
        <is>
          <t>TURBIDITE_IN_SITU</t>
        </is>
      </c>
      <c r="C1337" s="1" t="n">
        <v>1295</v>
      </c>
      <c r="E1337">
        <f>IFERROR(IF(_xlfn.XLOOKUP(#REF!, Tableau5[Code sandre], Tableau5[Code sandre],, 0) &lt;&gt; "", 1, ""), "")</f>
        <v/>
      </c>
    </row>
    <row r="1338">
      <c r="A1338" s="14" t="inlineStr">
        <is>
          <t>TYLOSIN</t>
        </is>
      </c>
      <c r="B1338" t="inlineStr">
        <is>
          <t>1401-69-0</t>
        </is>
      </c>
      <c r="C1338" s="1" t="n">
        <v>6523</v>
      </c>
      <c r="E1338">
        <f>IFERROR(IF(_xlfn.XLOOKUP(#REF!, Tableau5[Code sandre], Tableau5[Code sandre],, 0) &lt;&gt; "", 1, ""), "")</f>
        <v/>
      </c>
    </row>
    <row r="1339">
      <c r="A1339" s="14" t="inlineStr">
        <is>
          <t>URANIUM</t>
        </is>
      </c>
      <c r="B1339" t="inlineStr">
        <is>
          <t>7440-61-1</t>
        </is>
      </c>
      <c r="C1339" s="1" t="n">
        <v>1361</v>
      </c>
      <c r="D1339" t="inlineStr">
        <is>
          <t>NH4</t>
        </is>
      </c>
      <c r="E1339">
        <f>IFERROR(IF(_xlfn.XLOOKUP(#REF!, Tableau5[Code sandre], Tableau5[Code sandre],, 0) &lt;&gt; "", 1, ""), "")</f>
        <v/>
      </c>
    </row>
    <row r="1340">
      <c r="A1340" s="14" t="inlineStr">
        <is>
          <t>UREE</t>
        </is>
      </c>
      <c r="B1340" t="inlineStr">
        <is>
          <t>57-13-6</t>
        </is>
      </c>
      <c r="C1340" s="1" t="n">
        <v>6019</v>
      </c>
      <c r="E1340">
        <f>IFERROR(IF(_xlfn.XLOOKUP(#REF!, Tableau5[Code sandre], Tableau5[Code sandre],, 0) &lt;&gt; "", 1, ""), "")</f>
        <v/>
      </c>
    </row>
    <row r="1341">
      <c r="A1341" s="14" t="inlineStr">
        <is>
          <t>VALSARTAN</t>
        </is>
      </c>
      <c r="B1341" t="inlineStr">
        <is>
          <t>137862-53-4</t>
        </is>
      </c>
      <c r="C1341" s="1" t="n">
        <v>7901</v>
      </c>
      <c r="E1341">
        <f>IFERROR(IF(_xlfn.XLOOKUP(#REF!, Tableau5[Code sandre], Tableau5[Code sandre],, 0) &lt;&gt; "", 1, ""), "")</f>
        <v/>
      </c>
    </row>
    <row r="1342">
      <c r="A1342" s="14" t="inlineStr">
        <is>
          <t>VAMIDOTHION</t>
        </is>
      </c>
      <c r="B1342" t="inlineStr">
        <is>
          <t>2275-23-2</t>
        </is>
      </c>
      <c r="C1342" s="1" t="n">
        <v>1290</v>
      </c>
      <c r="E1342">
        <f>IFERROR(IF(_xlfn.XLOOKUP(#REF!, Tableau5[Code sandre], Tableau5[Code sandre],, 0) &lt;&gt; "", 1, ""), "")</f>
        <v/>
      </c>
    </row>
    <row r="1343">
      <c r="A1343" s="14" t="inlineStr">
        <is>
          <t>VANADIUM</t>
        </is>
      </c>
      <c r="C1343" s="1" t="n">
        <v>1384</v>
      </c>
      <c r="E1343">
        <f>IFERROR(IF(_xlfn.XLOOKUP(#REF!, Tableau5[Code sandre], Tableau5[Code sandre],, 0) &lt;&gt; "", 1, ""), "")</f>
        <v/>
      </c>
    </row>
    <row r="1344">
      <c r="A1344" s="14" t="inlineStr">
        <is>
          <t>VENLAFAXINE</t>
        </is>
      </c>
      <c r="B1344" t="inlineStr">
        <is>
          <t>93413-69-5</t>
        </is>
      </c>
      <c r="C1344" s="1" t="n">
        <v>7611</v>
      </c>
      <c r="E1344">
        <f>IFERROR(IF(_xlfn.XLOOKUP(#REF!, Tableau5[Code sandre], Tableau5[Code sandre],, 0) &lt;&gt; "", 1, ""), "")</f>
        <v/>
      </c>
    </row>
    <row r="1345">
      <c r="A1345" s="14" t="inlineStr">
        <is>
          <t>VINCLOZOLINE</t>
        </is>
      </c>
      <c r="B1345" t="inlineStr">
        <is>
          <t>50471-44-8</t>
        </is>
      </c>
      <c r="C1345" s="1" t="n">
        <v>1291</v>
      </c>
      <c r="E1345">
        <f>IFERROR(IF(_xlfn.XLOOKUP(#REF!, Tableau5[Code sandre], Tableau5[Code sandre],, 0) &lt;&gt; "", 1, ""), "")</f>
        <v/>
      </c>
    </row>
    <row r="1346">
      <c r="A1346" s="14" t="inlineStr">
        <is>
          <t>WARFARIN</t>
        </is>
      </c>
      <c r="B1346" t="inlineStr">
        <is>
          <t>81-81-2</t>
        </is>
      </c>
      <c r="C1346" s="1" t="n">
        <v>2972</v>
      </c>
      <c r="E1346">
        <f>IFERROR(IF(_xlfn.XLOOKUP(#REF!, Tableau5[Code sandre], Tableau5[Code sandre],, 0) &lt;&gt; "", 1, ""), "")</f>
        <v/>
      </c>
    </row>
    <row r="1347">
      <c r="A1347" s="14" t="inlineStr">
        <is>
          <t>XYLENES_TOTAUX</t>
        </is>
      </c>
      <c r="B1347" t="inlineStr">
        <is>
          <t>1330-20-7</t>
        </is>
      </c>
      <c r="C1347" s="1" t="n">
        <v>1780</v>
      </c>
      <c r="E1347">
        <f>IFERROR(IF(_xlfn.XLOOKUP(#REF!, Tableau5[Code sandre], Tableau5[Code sandre],, 0) &lt;&gt; "", 1, ""), "")</f>
        <v/>
      </c>
    </row>
    <row r="1348">
      <c r="A1348" s="14" t="inlineStr">
        <is>
          <t>YTTERBIUM</t>
        </is>
      </c>
      <c r="B1348" t="inlineStr">
        <is>
          <t>7440-64-4</t>
        </is>
      </c>
      <c r="C1348" s="1" t="n">
        <v>6080</v>
      </c>
      <c r="D1348" t="inlineStr">
        <is>
          <t>NH4</t>
        </is>
      </c>
      <c r="E1348">
        <f>IFERROR(IF(_xlfn.XLOOKUP(#REF!, Tableau5[Code sandre], Tableau5[Code sandre],, 0) &lt;&gt; "", 1, ""), "")</f>
        <v/>
      </c>
    </row>
    <row r="1349">
      <c r="A1349" s="14" t="inlineStr">
        <is>
          <t>YTTRIUM</t>
        </is>
      </c>
      <c r="C1349" s="1" t="n">
        <v>2798</v>
      </c>
      <c r="E1349">
        <f>IFERROR(IF(_xlfn.XLOOKUP(#REF!, Tableau5[Code sandre], Tableau5[Code sandre],, 0) &lt;&gt; "", 1, ""), "")</f>
        <v/>
      </c>
    </row>
    <row r="1350">
      <c r="A1350" s="14" t="inlineStr">
        <is>
          <t>ZINC</t>
        </is>
      </c>
      <c r="C1350" s="1" t="n">
        <v>1383</v>
      </c>
      <c r="E1350">
        <f>IFERROR(IF(_xlfn.XLOOKUP(#REF!, Tableau5[Code sandre], Tableau5[Code sandre],, 0) &lt;&gt; "", 1, ""), "")</f>
        <v/>
      </c>
    </row>
    <row r="1351">
      <c r="A1351" s="14" t="inlineStr">
        <is>
          <t>ZIRCONIUM</t>
        </is>
      </c>
      <c r="B1351" t="inlineStr">
        <is>
          <t>7440-67-7</t>
        </is>
      </c>
      <c r="C1351" t="n">
        <v>1800</v>
      </c>
      <c r="E1351">
        <f>IFERROR(IF(_xlfn.XLOOKUP(#REF!, Tableau5[Code sandre], Tableau5[Code sandre],, 0) &lt;&gt; "", 1, ""), "")</f>
        <v/>
      </c>
    </row>
    <row r="1352">
      <c r="A1352" s="14" t="inlineStr">
        <is>
          <t>ZOXAMIDE</t>
        </is>
      </c>
      <c r="B1352" t="inlineStr">
        <is>
          <t>156052-68-5</t>
        </is>
      </c>
      <c r="C1352" t="n">
        <v>2858</v>
      </c>
      <c r="E1352">
        <f>IFERROR(IF(_xlfn.XLOOKUP(#REF!, Tableau5[Code sandre], Tableau5[Code sandre],, 0) &lt;&gt; "", 1, ""), "")</f>
        <v/>
      </c>
    </row>
    <row r="1353">
      <c r="A1353" s="14" t="inlineStr">
        <is>
          <t>DIMETHENAMIDE_ST</t>
        </is>
      </c>
      <c r="B1353" s="19" t="inlineStr">
        <is>
          <t>87674-68-8</t>
        </is>
      </c>
      <c r="C1353" s="20" t="n">
        <v>1678</v>
      </c>
      <c r="E1353">
        <f>IFERROR(IF(_xlfn.XLOOKUP(#REF!, Tableau5[Code sandre], Tableau5[Code sandre],, 0) &lt;&gt; "", 1, ""), "")</f>
        <v/>
      </c>
    </row>
    <row r="1354">
      <c r="A1354" s="20" t="inlineStr">
        <is>
          <t>PIPERONYL_BUTOXYIDE_ST</t>
        </is>
      </c>
      <c r="B1354" s="20" t="n"/>
      <c r="C1354" s="20" t="n">
        <v>1709</v>
      </c>
      <c r="E1354">
        <f>IFERROR(IF(_xlfn.XLOOKUP(#REF!, Tableau5[Code sandre], Tableau5[Code sandre],, 0) &lt;&gt; "", 1, ""), "")</f>
        <v/>
      </c>
    </row>
    <row r="1355">
      <c r="A1355" s="20" t="inlineStr">
        <is>
          <t>PIPERONYL_BUTOXYIDE</t>
        </is>
      </c>
      <c r="B1355" s="20" t="n"/>
      <c r="C1355" s="20" t="n">
        <v>1709</v>
      </c>
      <c r="E1355">
        <f>IFERROR(IF(_xlfn.XLOOKUP(#REF!, Tableau5[Code sandre], Tableau5[Code sandre],, 0) &lt;&gt; "", 1, ""), "")</f>
        <v/>
      </c>
    </row>
    <row r="1356">
      <c r="A1356" s="20" t="inlineStr">
        <is>
          <t>TERBUTHYLAZINE_ST</t>
        </is>
      </c>
      <c r="B1356" s="20" t="inlineStr">
        <is>
          <t>5915-41-3</t>
        </is>
      </c>
      <c r="C1356" s="20" t="n">
        <v>1268</v>
      </c>
      <c r="E1356">
        <f>IFERROR(IF(_xlfn.XLOOKUP(#REF!, Tableau5[Code sandre], Tableau5[Code sandre],, 0) &lt;&gt; "", 1, ""), "")</f>
        <v/>
      </c>
    </row>
    <row r="1357">
      <c r="A1357" s="20" t="inlineStr">
        <is>
          <t>PIRIMICARBE_ST</t>
        </is>
      </c>
      <c r="B1357" s="20" t="inlineStr">
        <is>
          <t>23103-98-2</t>
        </is>
      </c>
      <c r="C1357" s="20" t="n">
        <v>1528</v>
      </c>
      <c r="E1357">
        <f>IFERROR(IF(_xlfn.XLOOKUP(#REF!, Tableau5[Code sandre], Tableau5[Code sandre],, 0) &lt;&gt; "", 1, ""), "")</f>
        <v/>
      </c>
    </row>
    <row r="1358">
      <c r="A1358" s="20" t="inlineStr">
        <is>
          <t>METOLACHLORE_ST</t>
        </is>
      </c>
      <c r="B1358" s="20" t="inlineStr">
        <is>
          <t>51218-45-2</t>
        </is>
      </c>
      <c r="C1358" s="20" t="n">
        <v>1221</v>
      </c>
      <c r="E1358">
        <f>IFERROR(IF(_xlfn.XLOOKUP(#REF!, Tableau5[Code sandre], Tableau5[Code sandre],, 0) &lt;&gt; "", 1, ""), "")</f>
        <v/>
      </c>
    </row>
    <row r="1359">
      <c r="A1359" s="20" t="inlineStr">
        <is>
          <t>FLUFENACET_ST</t>
        </is>
      </c>
      <c r="B1359" s="20" t="inlineStr">
        <is>
          <t>142459-58-3</t>
        </is>
      </c>
      <c r="C1359" s="20" t="n">
        <v>1940</v>
      </c>
      <c r="E1359">
        <f>IFERROR(IF(_xlfn.XLOOKUP(#REF!, Tableau5[Code sandre], Tableau5[Code sandre],, 0) &lt;&gt; "", 1, ""), "")</f>
        <v/>
      </c>
    </row>
    <row r="1360">
      <c r="A1360" s="20" t="inlineStr">
        <is>
          <t>TRIBUTYLETAIN_CATION</t>
        </is>
      </c>
      <c r="B1360" s="20" t="inlineStr">
        <is>
          <t>36643-28-4</t>
        </is>
      </c>
      <c r="C1360" s="20" t="n">
        <v>2879</v>
      </c>
      <c r="E1360">
        <f>IFERROR(IF(_xlfn.XLOOKUP(#REF!, Tableau5[Code sandre], Tableau5[Code sandre],, 0) &lt;&gt; "", 1, ""), "")</f>
        <v/>
      </c>
    </row>
    <row r="1361">
      <c r="A1361" s="20" t="inlineStr">
        <is>
          <t>NP2EO</t>
        </is>
      </c>
      <c r="B1361" s="20" t="n"/>
      <c r="C1361" s="20" t="n">
        <v>6369</v>
      </c>
      <c r="E1361">
        <f>IFERROR(IF(_xlfn.XLOOKUP(#REF!, Tableau5[Code sandre], Tableau5[Code sandre],, 0) &lt;&gt; "", 1, ""), "")</f>
        <v/>
      </c>
    </row>
    <row r="1362">
      <c r="A1362" s="20" t="inlineStr">
        <is>
          <t>VOLUME_ECOULE</t>
        </is>
      </c>
      <c r="B1362" s="20" t="n"/>
      <c r="C1362" s="20" t="n">
        <v>1552</v>
      </c>
      <c r="E1362">
        <f>IFERROR(IF(_xlfn.XLOOKUP(#REF!, Tableau5[Code sandre], Tableau5[Code sandre],, 0) &lt;&gt; "", 1, ""), "")</f>
        <v/>
      </c>
    </row>
    <row r="1363">
      <c r="A1363" t="inlineStr">
        <is>
          <t>ST_DCO_GAMME_BASSE</t>
        </is>
      </c>
      <c r="C1363" t="n">
        <v>1314</v>
      </c>
    </row>
    <row r="1364">
      <c r="A1364" t="inlineStr">
        <is>
          <t>DBO5_CONGEL_NON_DILUEE</t>
        </is>
      </c>
      <c r="C1364" t="n">
        <v>1313</v>
      </c>
    </row>
    <row r="1365">
      <c r="A1365" s="21" t="inlineStr">
        <is>
          <t>PFHXDA_ACIDE_PERFLUROHEXADECANOIQUE</t>
        </is>
      </c>
      <c r="B1365" s="21" t="inlineStr">
        <is>
          <t>67905-19-5</t>
        </is>
      </c>
      <c r="C1365" s="21" t="n">
        <v>8984</v>
      </c>
      <c r="D1365" s="21" t="n"/>
      <c r="E1365" s="21" t="n"/>
    </row>
    <row r="1366">
      <c r="A1366" s="21" t="inlineStr">
        <is>
          <t>PFODA_ACIDE_PERFLUROOCTADECANOIQUE</t>
        </is>
      </c>
      <c r="B1366" s="21" t="inlineStr">
        <is>
          <t>16517-11-6</t>
        </is>
      </c>
      <c r="C1366" s="21" t="n">
        <v>8985</v>
      </c>
      <c r="D1366" s="21" t="n"/>
      <c r="E1366" s="21" t="n"/>
    </row>
    <row r="1367">
      <c r="A1367" t="inlineStr">
        <is>
          <t>C6O4</t>
        </is>
      </c>
      <c r="C1367" t="n">
        <v>8981</v>
      </c>
    </row>
    <row r="1368">
      <c r="A1368" t="inlineStr">
        <is>
          <t>ADONA</t>
        </is>
      </c>
      <c r="C1368" t="n">
        <v>8983</v>
      </c>
    </row>
  </sheetData>
  <conditionalFormatting sqref="A1318">
    <cfRule type="duplicateValues" priority="3" dxfId="18"/>
  </conditionalFormatting>
  <conditionalFormatting sqref="A1327:A1352">
    <cfRule type="duplicateValues" priority="2" dxfId="18"/>
  </conditionalFormatting>
  <conditionalFormatting sqref="A1:A1353">
    <cfRule type="duplicateValues" priority="4" dxfId="18"/>
  </conditionalFormatting>
  <conditionalFormatting sqref="A1353">
    <cfRule type="duplicateValues" priority="1" dxfId="18"/>
  </conditionalFormatting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FLEURY</dc:creator>
  <dcterms:created xmlns:dcterms="http://purl.org/dc/terms/" xmlns:xsi="http://www.w3.org/2001/XMLSchema-instance" xsi:type="dcterms:W3CDTF">2026-07-30T09:08:19Z</dcterms:created>
  <dcterms:modified xmlns:dcterms="http://purl.org/dc/terms/" xmlns:xsi="http://www.w3.org/2001/XMLSchema-instance" xsi:type="dcterms:W3CDTF">2026-10-20T15:05:00Z</dcterms:modified>
  <cp:lastModifiedBy>Baptiste FLEURY</cp:lastModifiedBy>
</cp:coreProperties>
</file>